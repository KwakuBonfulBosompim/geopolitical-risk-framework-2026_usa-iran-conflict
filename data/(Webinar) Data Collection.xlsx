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Index" sheetId="1" r:id="rId4"/>
    <sheet state="visible" name="GSE Companies" sheetId="2" r:id="rId5"/>
    <sheet state="visible" name="Commodity" sheetId="3" r:id="rId6"/>
    <sheet state="visible" name="Forex  Exchange " sheetId="4" r:id="rId7"/>
    <sheet state="visible" name="Soverign Credit Spread" sheetId="5" r:id="rId8"/>
    <sheet state="visible" name="Ghana Fixed Income" sheetId="6" r:id="rId9"/>
    <sheet state="visible" name="GSE Brokers And Licensed Dealin" sheetId="7" r:id="rId10"/>
    <sheet state="visible" name="Issuers" sheetId="8" r:id="rId11"/>
  </sheets>
  <definedNames/>
  <calcPr/>
  <extLst>
    <ext uri="GoogleSheetsCustomDataVersion2">
      <go:sheetsCustomData xmlns:go="http://customooxmlschemas.google.com/" r:id="rId12" roundtripDataChecksum="Rhq8qEQTXV4rUf+9bVygUP+aWIsPUJ9SPLQMKkPDUKU="/>
    </ext>
  </extLst>
</workbook>
</file>

<file path=xl/sharedStrings.xml><?xml version="1.0" encoding="utf-8"?>
<sst xmlns="http://schemas.openxmlformats.org/spreadsheetml/2006/main" count="427" uniqueCount="358">
  <si>
    <t>Index</t>
  </si>
  <si>
    <t>Country</t>
  </si>
  <si>
    <t>Type of Exposure</t>
  </si>
  <si>
    <t>% Change</t>
  </si>
  <si>
    <t>Expected Reaction to Oil Shock</t>
  </si>
  <si>
    <t>Start of War 
27th February 2026</t>
  </si>
  <si>
    <t xml:space="preserve"> 27th March 2026</t>
  </si>
  <si>
    <t>Yahoo 
Finance Ticker</t>
  </si>
  <si>
    <t xml:space="preserve">Currency </t>
  </si>
  <si>
    <t>GSE Composite Index</t>
  </si>
  <si>
    <t>Ghana</t>
  </si>
  <si>
    <t>Oil importer + Gold exporter + Frontier EM risk</t>
  </si>
  <si>
    <t>Mixed (Gold ↑, Oil cost ↑, FX pressure)</t>
  </si>
  <si>
    <t>^GSECI</t>
  </si>
  <si>
    <t>GH₵</t>
  </si>
  <si>
    <t>S&amp;P 500</t>
  </si>
  <si>
    <t>USA</t>
  </si>
  <si>
    <t>Global benchmark + Energy exporter + Safe-haven flows</t>
  </si>
  <si>
    <t>Mixed (Energy ↑, Tech/consumer ↓)</t>
  </si>
  <si>
    <t>^GSPC</t>
  </si>
  <si>
    <t>USD</t>
  </si>
  <si>
    <t>FTSE 100</t>
  </si>
  <si>
    <t>UK</t>
  </si>
  <si>
    <t>Energy-heavy index (oil majors) + Defense</t>
  </si>
  <si>
    <t>Positive (Oil majors benefit)</t>
  </si>
  <si>
    <t>^FTSE</t>
  </si>
  <si>
    <t>GBP</t>
  </si>
  <si>
    <t>DAX</t>
  </si>
  <si>
    <t>Germany</t>
  </si>
  <si>
    <t>Manufacturing exporter + Energy importer</t>
  </si>
  <si>
    <t>Negative (Energy cost shock)</t>
  </si>
  <si>
    <t>^GDAXI</t>
  </si>
  <si>
    <t>EUR</t>
  </si>
  <si>
    <t>JSE Top 40</t>
  </si>
  <si>
    <t>South Africa</t>
  </si>
  <si>
    <t>Commodity exporter (gold/platinum) + EM risk</t>
  </si>
  <si>
    <t>Mixed to Positive (Gold ↑ offsets risk)</t>
  </si>
  <si>
    <t>^J200.JO</t>
  </si>
  <si>
    <t>ZAR</t>
  </si>
  <si>
    <t>Nikkei 225</t>
  </si>
  <si>
    <t>Japan</t>
  </si>
  <si>
    <t>Heavy energy importer + Export economy + Strong yen</t>
  </si>
  <si>
    <t>Negative (Oil ↑ + Yen ↑ hurts exports)</t>
  </si>
  <si>
    <t>^N225</t>
  </si>
  <si>
    <t>JPY</t>
  </si>
  <si>
    <t>KOSPI</t>
  </si>
  <si>
    <t>South Korea</t>
  </si>
  <si>
    <t>Export + semiconductor cycle + Energy importer</t>
  </si>
  <si>
    <t>Negative (Highly sensitive to global slowdown)</t>
  </si>
  <si>
    <t>^KS11</t>
  </si>
  <si>
    <t>KRW</t>
  </si>
  <si>
    <t>S&amp;P/ASX 200</t>
  </si>
  <si>
    <t>Australia</t>
  </si>
  <si>
    <t>Commodity exporter (iron ore, LNG, coal)</t>
  </si>
  <si>
    <t>Positive (Commodity boom)</t>
  </si>
  <si>
    <t>^AXJO</t>
  </si>
  <si>
    <t>AUD</t>
  </si>
  <si>
    <t>SSE Composite</t>
  </si>
  <si>
    <t>China</t>
  </si>
  <si>
    <t>Policy-driven + Manufacturing + Energy importer</t>
  </si>
  <si>
    <t>Mixed (Policy cushioning vs cost pressures)</t>
  </si>
  <si>
    <t>000001.SS</t>
  </si>
  <si>
    <t>CNY</t>
  </si>
  <si>
    <t>Hang Seng</t>
  </si>
  <si>
    <t>Hong Kong</t>
  </si>
  <si>
    <t>China proxy + Financial hub + Capital flows</t>
  </si>
  <si>
    <t>Negative to Mixed (Risk-off + China spillover)</t>
  </si>
  <si>
    <t>^HSI</t>
  </si>
  <si>
    <t>HKD</t>
  </si>
  <si>
    <t xml:space="preserve">List of GSE 
Companies </t>
  </si>
  <si>
    <t xml:space="preserve">Company Names </t>
  </si>
  <si>
    <t>Start of War 
28th February 2026</t>
  </si>
  <si>
    <t xml:space="preserve">By Sectors </t>
  </si>
  <si>
    <t>Finance</t>
  </si>
  <si>
    <t>ACCESS</t>
  </si>
  <si>
    <t>Access Bank Ghana PLC</t>
  </si>
  <si>
    <t>ADB</t>
  </si>
  <si>
    <t>Agricultural Development Bank</t>
  </si>
  <si>
    <t>CAL</t>
  </si>
  <si>
    <t>CalBank PLC</t>
  </si>
  <si>
    <t>EGH</t>
  </si>
  <si>
    <t>Ecobank Ghana PLC</t>
  </si>
  <si>
    <t>ETI</t>
  </si>
  <si>
    <t>Ecobank Transnational Inc.</t>
  </si>
  <si>
    <t>FAB</t>
  </si>
  <si>
    <t>First Atlantic Bank PLC</t>
  </si>
  <si>
    <t>GCB</t>
  </si>
  <si>
    <t>GCB Bank PLC</t>
  </si>
  <si>
    <t>MAC</t>
  </si>
  <si>
    <t>Mega African Capital PLC</t>
  </si>
  <si>
    <t>RBGH</t>
  </si>
  <si>
    <t>Republic Bank Ghana PLC</t>
  </si>
  <si>
    <t>SCB</t>
  </si>
  <si>
    <t>Standard Chartered Bank Ghana</t>
  </si>
  <si>
    <t>SCBPREF</t>
  </si>
  <si>
    <t>Stanchart Preference Shares</t>
  </si>
  <si>
    <t>SOGEGH</t>
  </si>
  <si>
    <t>Societe Generale Ghana PLC</t>
  </si>
  <si>
    <t>TBL</t>
  </si>
  <si>
    <t>Trust Bank Ltd (Gambia)</t>
  </si>
  <si>
    <t>Average</t>
  </si>
  <si>
    <t>Food and Beverage</t>
  </si>
  <si>
    <t>CPC</t>
  </si>
  <si>
    <t>Cocoa Processing Co. PLC</t>
  </si>
  <si>
    <t>FML</t>
  </si>
  <si>
    <t>Fan Milk PLC</t>
  </si>
  <si>
    <t>GGBL</t>
  </si>
  <si>
    <t>Guinness Ghana Breweries PLC</t>
  </si>
  <si>
    <t>HORDS</t>
  </si>
  <si>
    <t>Hords PLC</t>
  </si>
  <si>
    <t>SAMBA</t>
  </si>
  <si>
    <t>Samba Foods PLC</t>
  </si>
  <si>
    <t>ICT</t>
  </si>
  <si>
    <t>CLYD</t>
  </si>
  <si>
    <t>Clydestone Ghana PLC</t>
  </si>
  <si>
    <t>MTNGH</t>
  </si>
  <si>
    <t>Scancom PLC (MTN Ghana)</t>
  </si>
  <si>
    <t xml:space="preserve">Average </t>
  </si>
  <si>
    <t>Insurance</t>
  </si>
  <si>
    <t>EGL</t>
  </si>
  <si>
    <t>Enterprise Group PLC</t>
  </si>
  <si>
    <t>SIC</t>
  </si>
  <si>
    <t>SIC Insurance Company PLC</t>
  </si>
  <si>
    <t>Manufacturing</t>
  </si>
  <si>
    <t>CMLT</t>
  </si>
  <si>
    <t>Camelot Ghana PLC</t>
  </si>
  <si>
    <t>DASPHARMA</t>
  </si>
  <si>
    <t>Dannex Ayrton Starwin PLC</t>
  </si>
  <si>
    <t>IIL</t>
  </si>
  <si>
    <t>Intravenous Infusions Ltd</t>
  </si>
  <si>
    <t>UNIL</t>
  </si>
  <si>
    <t>Unilever Ghana PLC</t>
  </si>
  <si>
    <t>ALW</t>
  </si>
  <si>
    <t>Aluworks PLC</t>
  </si>
  <si>
    <t>Mining</t>
  </si>
  <si>
    <t>AADS</t>
  </si>
  <si>
    <t>AngloGold Ashanti Depository</t>
  </si>
  <si>
    <t>AGA</t>
  </si>
  <si>
    <t>AngloGold Ashanti PLC</t>
  </si>
  <si>
    <t>ALLGH</t>
  </si>
  <si>
    <t>Atlantic Lithium Ltd</t>
  </si>
  <si>
    <t>ASG</t>
  </si>
  <si>
    <t>Asante Gold Corporation</t>
  </si>
  <si>
    <t>TLW</t>
  </si>
  <si>
    <t>Tullow Oil PLC</t>
  </si>
  <si>
    <t>Agriculture</t>
  </si>
  <si>
    <t>BOPP</t>
  </si>
  <si>
    <t>Benso Oil Palm Plantation</t>
  </si>
  <si>
    <t>Distribution</t>
  </si>
  <si>
    <t>GOIL</t>
  </si>
  <si>
    <t>Ghana Oil Company PLC</t>
  </si>
  <si>
    <t>TOTAL</t>
  </si>
  <si>
    <t>TotalEnergies Marketing Ghana</t>
  </si>
  <si>
    <t>PBC</t>
  </si>
  <si>
    <t>Produce Buying Company Ltd</t>
  </si>
  <si>
    <t>Exchange Traded Funds</t>
  </si>
  <si>
    <t>GLD</t>
  </si>
  <si>
    <t>NewGold ETF</t>
  </si>
  <si>
    <t>Education</t>
  </si>
  <si>
    <t>MMH</t>
  </si>
  <si>
    <t>Meridian Marshalls Holding</t>
  </si>
  <si>
    <t>Adv. &amp; Production</t>
  </si>
  <si>
    <t>DIGICUT</t>
  </si>
  <si>
    <t>Digicut Production &amp; Adv.</t>
  </si>
  <si>
    <t>Commodity Markets</t>
  </si>
  <si>
    <t xml:space="preserve">Units </t>
  </si>
  <si>
    <t>(Start of War) 
As At 28th February 2026 USD</t>
  </si>
  <si>
    <t>27th March 2026 USD</t>
  </si>
  <si>
    <t>Commodity</t>
  </si>
  <si>
    <t>Performance (%)</t>
  </si>
  <si>
    <t>Gold</t>
  </si>
  <si>
    <t>per troy ounce</t>
  </si>
  <si>
    <t>Oil</t>
  </si>
  <si>
    <t>↑ 27.05%</t>
  </si>
  <si>
    <t>per barrel</t>
  </si>
  <si>
    <t>Manganese</t>
  </si>
  <si>
    <t>↑ 3.01%</t>
  </si>
  <si>
    <t>Natural Gas</t>
  </si>
  <si>
    <t>per MMBtu</t>
  </si>
  <si>
    <t>Helium</t>
  </si>
  <si>
    <t>↑ 2.98%</t>
  </si>
  <si>
    <t>Cocoa</t>
  </si>
  <si>
    <t>per tonne</t>
  </si>
  <si>
    <t>Graphite</t>
  </si>
  <si>
    <t>↑ 2.08%</t>
  </si>
  <si>
    <t>Lithium</t>
  </si>
  <si>
    <t>per tonne (CNY)</t>
  </si>
  <si>
    <t>Cobalt</t>
  </si>
  <si>
    <t>↑ 1.06%</t>
  </si>
  <si>
    <t>per pound</t>
  </si>
  <si>
    <t>Nickel</t>
  </si>
  <si>
    <t>↑ 0.78%</t>
  </si>
  <si>
    <t>Uranium</t>
  </si>
  <si>
    <t>Copper</t>
  </si>
  <si>
    <t>↑ 0.72%</t>
  </si>
  <si>
    <t>Palladium</t>
  </si>
  <si>
    <t>Silver</t>
  </si>
  <si>
    <t>↑ 0.70%</t>
  </si>
  <si>
    <t>↑ 3.51%</t>
  </si>
  <si>
    <t>↓ 2.35%</t>
  </si>
  <si>
    <t>↑ 3.70%</t>
  </si>
  <si>
    <t>per m3</t>
  </si>
  <si>
    <t>↓ -7.58%</t>
  </si>
  <si>
    <t>↓ -9.74%</t>
  </si>
  <si>
    <t>per dmtu</t>
  </si>
  <si>
    <t>↓ -23.55%</t>
  </si>
  <si>
    <t>Currency Markets</t>
  </si>
  <si>
    <t>(Start of War) As At 
28th February 2026</t>
  </si>
  <si>
    <t>Comments</t>
  </si>
  <si>
    <t>Ghs/USD</t>
  </si>
  <si>
    <t>The Cedi weakened slightly toward the close.</t>
  </si>
  <si>
    <t>Pound/USD</t>
  </si>
  <si>
    <t>Sterling fell from earlier highs due to geopolitical tensions.</t>
  </si>
  <si>
    <t>Yen/USD</t>
  </si>
  <si>
    <t>Equivalent to 160.29 Yen per Dollar (a 52-week high).</t>
  </si>
  <si>
    <t>Euro/USD</t>
  </si>
  <si>
    <t>The Euro fluctuated but closed near the 1.15 level.</t>
  </si>
  <si>
    <t>Currency Pair</t>
  </si>
  <si>
    <t>Calculated % Change</t>
  </si>
  <si>
    <t>Indicator</t>
  </si>
  <si>
    <t>Direction</t>
  </si>
  <si>
    <t>⬇️</t>
  </si>
  <si>
    <t>Loss</t>
  </si>
  <si>
    <t>⬆️</t>
  </si>
  <si>
    <t>Gain</t>
  </si>
  <si>
    <t>Sovereign Credit Spread</t>
  </si>
  <si>
    <t>Rate as At 27th February</t>
  </si>
  <si>
    <t>Feb 27 Spread (bps)</t>
  </si>
  <si>
    <t>Rate as at 27th March</t>
  </si>
  <si>
    <t>March 27 Spread (bps)</t>
  </si>
  <si>
    <t>Nigeria</t>
  </si>
  <si>
    <t>Kenya</t>
  </si>
  <si>
    <t>Angola</t>
  </si>
  <si>
    <t>Change (bps)</t>
  </si>
  <si>
    <t>Decreased</t>
  </si>
  <si>
    <t>Increased</t>
  </si>
  <si>
    <t>Column 1</t>
  </si>
  <si>
    <t>Rates As At
27th March 2026</t>
  </si>
  <si>
    <t xml:space="preserve">Closing Prices </t>
  </si>
  <si>
    <t>(Start of War) Rates As At 
28th February 2026</t>
  </si>
  <si>
    <t>Closing Prices  2</t>
  </si>
  <si>
    <t>Fixed Income</t>
  </si>
  <si>
    <t>Price (USD / GH₵)</t>
  </si>
  <si>
    <t xml:space="preserve">Yield </t>
  </si>
  <si>
    <t>US 10 Year Treasury Bond</t>
  </si>
  <si>
    <t>N/A</t>
  </si>
  <si>
    <t>Ghana 91-Day T Bill</t>
  </si>
  <si>
    <t>Ghana 182-Day T Bill</t>
  </si>
  <si>
    <t>Ghana 364-Day T Bill</t>
  </si>
  <si>
    <t>2 Year Fixed Income Note</t>
  </si>
  <si>
    <t>2 YR FXR NOTE</t>
  </si>
  <si>
    <t>3 YR FXR BOND</t>
  </si>
  <si>
    <t>5 YR FXR BOND</t>
  </si>
  <si>
    <t>6 YR FXR BOND</t>
  </si>
  <si>
    <t>7 YR FXR BOND</t>
  </si>
  <si>
    <t>10 YR FXR BOND</t>
  </si>
  <si>
    <t>15 YR FXR BOND (Matures 2038)</t>
  </si>
  <si>
    <t>20 YR FXR BOND</t>
  </si>
  <si>
    <t>Broker  GSE</t>
  </si>
  <si>
    <t>Licensed Dealing Member List</t>
  </si>
  <si>
    <t>1. IC Securities</t>
  </si>
  <si>
    <t>Amber Securities</t>
  </si>
  <si>
    <t>2. SBG Securities</t>
  </si>
  <si>
    <t>Blackstar Brokerage</t>
  </si>
  <si>
    <t>3. SIC Brokerage</t>
  </si>
  <si>
    <t>Bullion Securities</t>
  </si>
  <si>
    <t>4. Databank Brokerage</t>
  </si>
  <si>
    <t>CDH Securities</t>
  </si>
  <si>
    <t>5. EDC Stockbrokers</t>
  </si>
  <si>
    <t>Chapelhill Denham Securities</t>
  </si>
  <si>
    <t>6. Blackstar Brokerage</t>
  </si>
  <si>
    <t>Constant Capital</t>
  </si>
  <si>
    <t>7. Constant Capital</t>
  </si>
  <si>
    <t>Databank Brokerage</t>
  </si>
  <si>
    <t>8. Laurus Securities</t>
  </si>
  <si>
    <t>EDC Stockbrokers</t>
  </si>
  <si>
    <t>9. Strategic African Securities</t>
  </si>
  <si>
    <t>Fincap Securities</t>
  </si>
  <si>
    <t>10. Republic Securities</t>
  </si>
  <si>
    <t>First Atlantic Brokerage Limited</t>
  </si>
  <si>
    <t>11. Teak Tree Brokerage</t>
  </si>
  <si>
    <t>Firstbanc Brokerage</t>
  </si>
  <si>
    <t>12. Laurus Securities (Second Entry)</t>
  </si>
  <si>
    <t>IC Securities</t>
  </si>
  <si>
    <t>13. NTHC Securities</t>
  </si>
  <si>
    <t>Laurus Securities</t>
  </si>
  <si>
    <t>14. First Atlantic Brokerage Limited</t>
  </si>
  <si>
    <t>Merban Stockbrokers Ltd.</t>
  </si>
  <si>
    <t>15. Bullion Securities</t>
  </si>
  <si>
    <t>NTHC Securities</t>
  </si>
  <si>
    <t>16. Fincap Securities</t>
  </si>
  <si>
    <t>Petra Securities</t>
  </si>
  <si>
    <t>17. Serengeti Capital</t>
  </si>
  <si>
    <t>Republic Securities</t>
  </si>
  <si>
    <t>18. Amber Securities</t>
  </si>
  <si>
    <t>Sarpong Capital</t>
  </si>
  <si>
    <t>19. Firstbanc Brokerage</t>
  </si>
  <si>
    <t>SBG Securities</t>
  </si>
  <si>
    <t>20. CDH Securities</t>
  </si>
  <si>
    <t>Serengeti Capital</t>
  </si>
  <si>
    <t>21. Chapelhill Denham Securities</t>
  </si>
  <si>
    <t>SIC Brokerage</t>
  </si>
  <si>
    <t>22. UMB Stockbrokers</t>
  </si>
  <si>
    <t>Strategic African Securities</t>
  </si>
  <si>
    <t>23. Sarpong Capital</t>
  </si>
  <si>
    <t>Teak Tree Brokerage</t>
  </si>
  <si>
    <t>UMB Stockbrokers</t>
  </si>
  <si>
    <t>Company Name</t>
  </si>
  <si>
    <t>Super Paper Products Co. Ltd.</t>
  </si>
  <si>
    <t>Mechanical Llyod Co. Ltd.</t>
  </si>
  <si>
    <t>Ashanti Goldfields Co. Ltd.</t>
  </si>
  <si>
    <t>HFC Bank Ltd.</t>
  </si>
  <si>
    <t>Pioneer Aluminium Factory Ltd.</t>
  </si>
  <si>
    <t>SSB Bank Limited</t>
  </si>
  <si>
    <t>Accra Brewery Ltd.</t>
  </si>
  <si>
    <t>Aluworks Ltd. / Aluworks Limited</t>
  </si>
  <si>
    <t>UTC Estates Ghana Ltd.</t>
  </si>
  <si>
    <t>PZ Cussons Ghana Ltd.</t>
  </si>
  <si>
    <t>GCB Bank Ltd.</t>
  </si>
  <si>
    <t>Guinness Ghana Ltd / Guinness Ghana Breweries Ltd.</t>
  </si>
  <si>
    <t>Metalloplastica Ghana Ltd.</t>
  </si>
  <si>
    <t>Camelot Ghana Ltd.</t>
  </si>
  <si>
    <t>Produce Buying Company Ltd.</t>
  </si>
  <si>
    <t>Sam Woode Limited</t>
  </si>
  <si>
    <t>Trust Bank Ltd. (The Gambia)</t>
  </si>
  <si>
    <t>Cocoa Processing Co. Ltd.</t>
  </si>
  <si>
    <t>CFAO Ghana Ltd.</t>
  </si>
  <si>
    <t>Ghana Breweries Ltd.</t>
  </si>
  <si>
    <t>Clydestone Ghana Ltd.</t>
  </si>
  <si>
    <t>Benso Oil Palm Plantation Ltd.</t>
  </si>
  <si>
    <t>CAL Bank Ltd</t>
  </si>
  <si>
    <t>Starwin Products Ltd. (SPL)</t>
  </si>
  <si>
    <t>Golden Web Limited (GWEB)</t>
  </si>
  <si>
    <t>EcoBank Ghana Ltd (EBG)</t>
  </si>
  <si>
    <t>EcoBank Transnational Inc. (ETI)</t>
  </si>
  <si>
    <t>Ayrtn Drug Manufacturing Ltd</t>
  </si>
  <si>
    <t>Transaction Solutions Ltd</t>
  </si>
  <si>
    <t>Ghana Oil company Ltd</t>
  </si>
  <si>
    <t>SIC Insurance Company Ltd</t>
  </si>
  <si>
    <t>Golden Star Resources Ltd</t>
  </si>
  <si>
    <t>UT Bank Ltd</t>
  </si>
  <si>
    <t>Standard Chartered Bank Gh. Ltd.</t>
  </si>
  <si>
    <t>Tullow Oil Plc</t>
  </si>
  <si>
    <t>Total Petroleum Ghana Ltd.</t>
  </si>
  <si>
    <t>Mega African Capital Ltd</t>
  </si>
  <si>
    <t>Societe Generale Ghana Ltd. / Societe Generale Ghana Limited</t>
  </si>
  <si>
    <t>SAMBA Foods Limited</t>
  </si>
  <si>
    <t>Meridian Marshalls Holding Co.</t>
  </si>
  <si>
    <t>HORDS Limited</t>
  </si>
  <si>
    <t>ADB Bank / Agricultural Development Bank</t>
  </si>
  <si>
    <t>Access Bank Limited</t>
  </si>
  <si>
    <t>DIGICUT Advertising and Production Ltd</t>
  </si>
  <si>
    <t>Enterprise Group Ltd</t>
  </si>
  <si>
    <t>Republic Bank Ghana Ltd.</t>
  </si>
  <si>
    <t>MTN Ghana Ltd.</t>
  </si>
  <si>
    <t>Dannex Ayrton Starwin Plc</t>
  </si>
  <si>
    <t>Pesewa One Plc</t>
  </si>
  <si>
    <t>Atlantic Lithium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</si>
</sst>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"/>
    <numFmt numFmtId="165" formatCode="0.0000000"/>
  </numFmts>
  <fonts count="21">
    <font>
      <sz val="10.0"/>
      <color rgb="FF000000"/>
      <name val="Arial"/>
      <scheme val="minor"/>
    </font>
    <font>
      <b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b/>
      <color rgb="FF1F1F1F"/>
      <name val="Google Sans"/>
    </font>
    <font>
      <color rgb="FF1F1F1F"/>
      <name val="Google Sans"/>
    </font>
    <font>
      <b/>
      <u/>
      <color rgb="FF1F1F1F"/>
      <name val="Google Sans"/>
    </font>
    <font>
      <b/>
      <sz val="11.0"/>
      <color theme="1"/>
      <name val="Arial"/>
    </font>
    <font>
      <sz val="11.0"/>
      <color theme="1"/>
      <name val="Arial"/>
    </font>
    <font>
      <b/>
      <sz val="12.0"/>
      <color theme="1"/>
      <name val="Calibri"/>
    </font>
    <font>
      <sz val="11.0"/>
      <color rgb="FF434343"/>
      <name val="Calibri"/>
    </font>
    <font>
      <b/>
      <sz val="11.0"/>
      <color rgb="FF000000"/>
      <name val="Arial"/>
    </font>
    <font>
      <sz val="11.0"/>
      <color rgb="FF000000"/>
      <name val="Arial"/>
    </font>
    <font>
      <sz val="11.0"/>
      <color rgb="FF008000"/>
      <name val="Arial"/>
    </font>
    <font>
      <color theme="1"/>
      <name val="Arial"/>
      <scheme val="minor"/>
    </font>
    <font>
      <sz val="14.0"/>
      <color rgb="FF000000"/>
      <name val="Arial"/>
    </font>
    <font>
      <sz val="11.0"/>
      <color rgb="FFFF0000"/>
      <name val="Arial"/>
    </font>
    <font>
      <sz val="11.0"/>
      <color rgb="FF1F1F1F"/>
      <name val="Google Sans"/>
    </font>
    <font>
      <color rgb="FF008000"/>
      <name val="Arial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">
    <border/>
    <border>
      <left/>
      <right/>
      <top/>
      <bottom/>
    </border>
    <border>
      <left style="thin">
        <color rgb="FF284E3F"/>
      </left>
      <right style="thin">
        <color rgb="FFCFE2F3"/>
      </right>
      <top style="thin">
        <color rgb="FFCFE2F3"/>
      </top>
      <bottom style="thin">
        <color rgb="FFCFE2F3"/>
      </bottom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</border>
    <border>
      <left style="thin">
        <color rgb="FFCFE2F3"/>
      </left>
      <right style="thin">
        <color rgb="FF284E3F"/>
      </right>
      <top style="thin">
        <color rgb="FFCFE2F3"/>
      </top>
      <bottom style="thin">
        <color rgb="FFCFE2F3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4" xfId="0" applyAlignment="1" applyFont="1" applyNumberFormat="1">
      <alignment horizontal="left" shrinkToFit="0" vertical="center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0" fillId="0" fontId="3" numFmtId="4" xfId="0" applyAlignment="1" applyFont="1" applyNumberFormat="1">
      <alignment horizontal="left" shrinkToFit="0" vertical="bottom" wrapText="0"/>
    </xf>
    <xf borderId="0" fillId="0" fontId="3" numFmtId="4" xfId="0" applyAlignment="1" applyFont="1" applyNumberFormat="1">
      <alignment vertical="bottom"/>
    </xf>
    <xf borderId="0" fillId="0" fontId="3" numFmtId="164" xfId="0" applyAlignment="1" applyFont="1" applyNumberFormat="1">
      <alignment shrinkToFit="0" vertical="bottom" wrapText="0"/>
    </xf>
    <xf borderId="0" fillId="0" fontId="3" numFmtId="0" xfId="0" applyAlignment="1" applyFont="1">
      <alignment vertical="bottom"/>
    </xf>
    <xf borderId="0" fillId="0" fontId="4" numFmtId="4" xfId="0" applyAlignment="1" applyFont="1" applyNumberForma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3" numFmtId="4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center" wrapText="0"/>
    </xf>
    <xf borderId="0" fillId="0" fontId="6" numFmtId="4" xfId="0" applyAlignment="1" applyFont="1" applyNumberForma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4" numFmtId="164" xfId="0" applyFont="1" applyNumberFormat="1"/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right" shrinkToFit="0" vertical="center" wrapText="0"/>
    </xf>
    <xf borderId="0" fillId="0" fontId="2" numFmtId="165" xfId="0" applyAlignment="1" applyFont="1" applyNumberFormat="1">
      <alignment horizontal="left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4" xfId="0" applyAlignment="1" applyFont="1" applyNumberFormat="1">
      <alignment horizontal="center" shrinkToFit="0" vertical="bottom" wrapText="0"/>
    </xf>
    <xf borderId="0" fillId="0" fontId="3" numFmtId="165" xfId="0" applyAlignment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9" numFmtId="0" xfId="0" applyAlignment="1" applyFont="1">
      <alignment horizontal="right" shrinkToFit="0" vertical="bottom" wrapText="0"/>
    </xf>
    <xf borderId="0" fillId="0" fontId="4" numFmtId="0" xfId="0" applyAlignment="1" applyFont="1">
      <alignment horizontal="right" shrinkToFit="0" vertical="bottom" wrapText="0"/>
    </xf>
    <xf borderId="1" fillId="2" fontId="9" numFmtId="0" xfId="0" applyAlignment="1" applyBorder="1" applyFill="1" applyFont="1">
      <alignment shrinkToFit="0" vertical="bottom" wrapText="0"/>
    </xf>
    <xf borderId="1" fillId="2" fontId="3" numFmtId="0" xfId="0" applyAlignment="1" applyBorder="1" applyFont="1">
      <alignment shrinkToFit="0" vertical="bottom" wrapText="0"/>
    </xf>
    <xf borderId="1" fillId="2" fontId="3" numFmtId="165" xfId="0" applyAlignment="1" applyBorder="1" applyFont="1" applyNumberFormat="1">
      <alignment shrinkToFit="0" vertical="bottom" wrapText="0"/>
    </xf>
    <xf borderId="0" fillId="2" fontId="3" numFmtId="0" xfId="0" applyAlignment="1" applyFont="1">
      <alignment shrinkToFit="0" vertical="bottom" wrapText="0"/>
    </xf>
    <xf borderId="0" fillId="2" fontId="3" numFmtId="165" xfId="0" applyAlignment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4" numFmtId="0" xfId="0" applyAlignment="1" applyFont="1">
      <alignment shrinkToFit="0" vertical="center" wrapText="0"/>
    </xf>
    <xf borderId="0" fillId="0" fontId="4" numFmtId="0" xfId="0" applyFont="1"/>
    <xf borderId="0" fillId="0" fontId="4" numFmtId="165" xfId="0" applyAlignment="1" applyFont="1" applyNumberFormat="1">
      <alignment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165" xfId="0" applyAlignment="1" applyFont="1" applyNumberFormat="1">
      <alignment shrinkToFit="0" vertical="center" wrapText="0"/>
    </xf>
    <xf borderId="0" fillId="2" fontId="2" numFmtId="0" xfId="0" applyAlignment="1" applyFont="1">
      <alignment shrinkToFit="0" vertical="bottom" wrapText="0"/>
    </xf>
    <xf borderId="0" fillId="2" fontId="2" numFmtId="165" xfId="0" applyAlignment="1" applyFont="1" applyNumberFormat="1">
      <alignment shrinkToFit="0" vertical="bottom" wrapText="0"/>
    </xf>
    <xf borderId="2" fillId="2" fontId="11" numFmtId="0" xfId="0" applyAlignment="1" applyBorder="1" applyFont="1">
      <alignment shrinkToFit="0" vertical="bottom" wrapText="0"/>
    </xf>
    <xf borderId="3" fillId="2" fontId="4" numFmtId="0" xfId="0" applyAlignment="1" applyBorder="1" applyFont="1">
      <alignment shrinkToFit="0" vertical="bottom" wrapText="0"/>
    </xf>
    <xf borderId="4" fillId="2" fontId="11" numFmtId="165" xfId="0" applyAlignment="1" applyBorder="1" applyFont="1" applyNumberFormat="1">
      <alignment horizontal="right" shrinkToFit="0" vertical="bottom" wrapText="0"/>
    </xf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vertical="bottom"/>
    </xf>
    <xf borderId="0" fillId="0" fontId="4" numFmtId="165" xfId="0" applyFont="1" applyNumberFormat="1"/>
    <xf borderId="0" fillId="0" fontId="3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12" numFmtId="0" xfId="0" applyAlignment="1" applyFont="1">
      <alignment horizontal="center" shrinkToFit="0" wrapText="1"/>
    </xf>
    <xf borderId="0" fillId="0" fontId="12" numFmtId="0" xfId="0" applyAlignment="1" applyFont="1">
      <alignment horizontal="center" shrinkToFit="0" wrapText="1"/>
    </xf>
    <xf borderId="0" fillId="0" fontId="9" numFmtId="0" xfId="0" applyAlignment="1" applyFont="1">
      <alignment shrinkToFit="0" vertical="bottom" wrapText="0"/>
    </xf>
    <xf borderId="0" fillId="0" fontId="4" numFmtId="2" xfId="0" applyAlignment="1" applyFont="1" applyNumberFormat="1">
      <alignment shrinkToFit="0" vertical="bottom" wrapText="0"/>
    </xf>
    <xf borderId="0" fillId="0" fontId="3" numFmtId="2" xfId="0" applyAlignment="1" applyFont="1" applyNumberFormat="1">
      <alignment horizontal="right" shrinkToFit="0" vertical="bottom" wrapText="0"/>
    </xf>
    <xf borderId="0" fillId="0" fontId="4" numFmtId="4" xfId="0" applyAlignment="1" applyFont="1" applyNumberFormat="1">
      <alignment horizontal="right" shrinkToFit="0" vertical="bottom" wrapText="0"/>
    </xf>
    <xf borderId="0" fillId="0" fontId="13" numFmtId="0" xfId="0" applyAlignment="1" applyFont="1">
      <alignment horizontal="left" shrinkToFit="0" wrapText="1"/>
    </xf>
    <xf borderId="0" fillId="0" fontId="14" numFmtId="0" xfId="0" applyAlignment="1" applyFont="1">
      <alignment horizontal="left" shrinkToFit="0" wrapText="1"/>
    </xf>
    <xf borderId="0" fillId="0" fontId="14" numFmtId="0" xfId="0" applyAlignment="1" applyFont="1">
      <alignment horizontal="left" shrinkToFit="0" wrapText="1"/>
    </xf>
    <xf borderId="0" fillId="0" fontId="4" numFmtId="2" xfId="0" applyAlignment="1" applyFont="1" applyNumberFormat="1">
      <alignment horizontal="right" shrinkToFit="0" vertical="bottom" wrapText="0"/>
    </xf>
    <xf borderId="0" fillId="3" fontId="9" numFmtId="0" xfId="0" applyAlignment="1" applyFill="1" applyFont="1">
      <alignment shrinkToFit="0" vertical="bottom" wrapText="0"/>
    </xf>
    <xf borderId="0" fillId="3" fontId="4" numFmtId="2" xfId="0" applyAlignment="1" applyFont="1" applyNumberFormat="1">
      <alignment shrinkToFit="0" vertical="bottom" wrapText="0"/>
    </xf>
    <xf borderId="0" fillId="3" fontId="3" numFmtId="2" xfId="0" applyAlignment="1" applyFont="1" applyNumberFormat="1">
      <alignment horizontal="right" shrinkToFit="0" vertical="bottom" wrapText="0"/>
    </xf>
    <xf borderId="0" fillId="3" fontId="15" numFmtId="2" xfId="0" applyAlignment="1" applyFont="1" applyNumberFormat="1">
      <alignment readingOrder="0"/>
    </xf>
    <xf borderId="0" fillId="3" fontId="3" numFmtId="165" xfId="0" applyAlignment="1" applyFont="1" applyNumberFormat="1">
      <alignment shrinkToFit="0" vertical="bottom" wrapText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Font="1"/>
    <xf borderId="0" fillId="0" fontId="13" numFmtId="0" xfId="0" applyAlignment="1" applyFont="1">
      <alignment horizontal="left" shrinkToFit="0" wrapText="1"/>
    </xf>
    <xf borderId="0" fillId="0" fontId="17" numFmtId="0" xfId="0" applyAlignment="1" applyFont="1">
      <alignment horizontal="left" shrinkToFit="0" wrapText="1"/>
    </xf>
    <xf borderId="0" fillId="0" fontId="17" numFmtId="0" xfId="0" applyAlignment="1" applyFont="1">
      <alignment horizontal="left" shrinkToFit="0" wrapText="1"/>
    </xf>
    <xf borderId="0" fillId="0" fontId="3" numFmtId="2" xfId="0" applyAlignment="1" applyFont="1" applyNumberFormat="1">
      <alignment vertical="bottom"/>
    </xf>
    <xf borderId="0" fillId="0" fontId="2" numFmtId="0" xfId="0" applyAlignment="1" applyFont="1">
      <alignment horizontal="left" shrinkToFit="0" vertical="center" wrapText="0"/>
    </xf>
    <xf borderId="0" fillId="0" fontId="18" numFmtId="0" xfId="0" applyAlignment="1" applyFont="1">
      <alignment horizontal="right"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18" numFmtId="0" xfId="0" applyAlignment="1" applyFont="1">
      <alignment horizontal="right" readingOrder="0" shrinkToFit="0" vertical="bottom" wrapText="0"/>
    </xf>
    <xf borderId="0" fillId="0" fontId="1" numFmtId="0" xfId="0" applyFont="1"/>
    <xf borderId="0" fillId="0" fontId="4" numFmtId="10" xfId="0" applyAlignment="1" applyFont="1" applyNumberFormat="1">
      <alignment shrinkToFit="0" vertical="center" wrapText="0"/>
    </xf>
    <xf borderId="0" fillId="0" fontId="15" numFmtId="10" xfId="0" applyAlignment="1" applyFont="1" applyNumberFormat="1">
      <alignment readingOrder="0"/>
    </xf>
    <xf borderId="0" fillId="0" fontId="19" numFmtId="10" xfId="0" applyAlignment="1" applyFont="1" applyNumberFormat="1">
      <alignment shrinkToFit="0" vertical="center" wrapText="0"/>
    </xf>
    <xf borderId="0" fillId="0" fontId="2" numFmtId="10" xfId="0" applyAlignment="1" applyFont="1" applyNumberFormat="1">
      <alignment shrinkToFit="0" vertical="bottom" wrapText="0"/>
    </xf>
    <xf borderId="0" fillId="0" fontId="2" numFmtId="1" xfId="0" applyAlignment="1" applyFont="1" applyNumberFormat="1">
      <alignment horizontal="right" shrinkToFit="0" vertical="bottom" wrapText="0"/>
    </xf>
    <xf borderId="0" fillId="0" fontId="4" numFmtId="10" xfId="0" applyAlignment="1" applyFont="1" applyNumberFormat="1">
      <alignment horizontal="center" shrinkToFit="0" vertical="center" wrapText="0"/>
    </xf>
    <xf borderId="0" fillId="0" fontId="2" numFmtId="10" xfId="0" applyAlignment="1" applyFont="1" applyNumberFormat="1">
      <alignment horizontal="center" shrinkToFit="0" vertical="bottom" wrapText="0"/>
    </xf>
    <xf borderId="0" fillId="0" fontId="3" numFmtId="10" xfId="0" applyAlignment="1" applyFont="1" applyNumberFormat="1">
      <alignment horizontal="center" shrinkToFit="0" vertical="bottom" wrapText="0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/>
    </xf>
    <xf borderId="0" fillId="0" fontId="3" numFmtId="10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horizontal="right" shrinkToFit="0" vertical="bottom" wrapText="0"/>
    </xf>
    <xf borderId="1" fillId="4" fontId="3" numFmtId="0" xfId="0" applyAlignment="1" applyBorder="1" applyFill="1" applyFont="1">
      <alignment vertical="bottom"/>
    </xf>
    <xf borderId="0" fillId="0" fontId="20" numFmtId="0" xfId="0" applyAlignment="1" applyFont="1">
      <alignment horizontal="left" readingOrder="0" shrinkToFit="0" vertical="center" wrapText="0"/>
    </xf>
    <xf borderId="0" fillId="0" fontId="15" numFmtId="0" xfId="0" applyAlignment="1" applyFont="1">
      <alignment horizontal="left" readingOrder="0" shrinkToFit="0" vertical="center" wrapText="0"/>
    </xf>
    <xf borderId="0" fillId="0" fontId="15" numFmtId="0" xfId="0" applyAlignment="1" applyFont="1">
      <alignment horizontal="left" shrinkToFit="0" vertical="center" wrapText="0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F5BE35"/>
          <bgColor rgb="FFF5BE35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8BF31"/>
          <bgColor rgb="FFF8BF31"/>
        </patternFill>
      </fill>
      <border/>
    </dxf>
    <dxf>
      <font/>
      <fill>
        <patternFill patternType="solid">
          <fgColor rgb="FFF3B22D"/>
          <bgColor rgb="FFF3B22D"/>
        </patternFill>
      </fill>
      <border/>
    </dxf>
    <dxf>
      <font/>
      <fill>
        <patternFill patternType="solid">
          <fgColor rgb="FFF5C120"/>
          <bgColor rgb="FFF5C120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E69626"/>
          <bgColor rgb="FFE69626"/>
        </patternFill>
      </fill>
      <border/>
    </dxf>
    <dxf>
      <font/>
      <fill>
        <patternFill patternType="solid">
          <fgColor rgb="FF3DEEDB"/>
          <bgColor rgb="FF3DEEDB"/>
        </patternFill>
      </fill>
      <border/>
    </dxf>
    <dxf>
      <font/>
      <fill>
        <patternFill patternType="solid">
          <fgColor rgb="FF4A568D"/>
          <bgColor rgb="FF4A568D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ont/>
      <fill>
        <patternFill patternType="solid">
          <fgColor rgb="FF626E7A"/>
          <bgColor rgb="FF626E7A"/>
        </patternFill>
      </fill>
      <border/>
    </dxf>
  </dxfs>
  <tableStyles count="10">
    <tableStyle count="3" pivot="0" name="Stock Index-style">
      <tableStyleElement dxfId="1" type="headerRow"/>
      <tableStyleElement dxfId="2" type="firstRowStripe"/>
      <tableStyleElement dxfId="3" type="secondRowStripe"/>
    </tableStyle>
    <tableStyle count="3" pivot="0" name="GSE Companies-style">
      <tableStyleElement dxfId="4" type="headerRow"/>
      <tableStyleElement dxfId="2" type="firstRowStripe"/>
      <tableStyleElement dxfId="3" type="secondRowStripe"/>
    </tableStyle>
    <tableStyle count="3" pivot="0" name="Commodity-style">
      <tableStyleElement dxfId="5" type="headerRow"/>
      <tableStyleElement dxfId="2" type="firstRowStripe"/>
      <tableStyleElement dxfId="3" type="secondRowStripe"/>
    </tableStyle>
    <tableStyle count="3" pivot="0" name="Forex  Exchange -style">
      <tableStyleElement dxfId="6" type="headerRow"/>
      <tableStyleElement dxfId="2" type="firstRowStripe"/>
      <tableStyleElement dxfId="3" type="secondRowStripe"/>
    </tableStyle>
    <tableStyle count="3" pivot="0" name="Forex  Exchange -style 2">
      <tableStyleElement dxfId="7" type="headerRow"/>
      <tableStyleElement dxfId="2" type="firstRowStripe"/>
      <tableStyleElement dxfId="3" type="secondRowStripe"/>
    </tableStyle>
    <tableStyle count="3" pivot="0" name="Soverign Credit Spread-style">
      <tableStyleElement dxfId="8" type="headerRow"/>
      <tableStyleElement dxfId="2" type="firstRowStripe"/>
      <tableStyleElement dxfId="3" type="secondRowStripe"/>
    </tableStyle>
    <tableStyle count="3" pivot="0" name="Soverign Credit Spread-style 2">
      <tableStyleElement dxfId="9" type="headerRow"/>
      <tableStyleElement dxfId="2" type="firstRowStripe"/>
      <tableStyleElement dxfId="3" type="secondRowStripe"/>
    </tableStyle>
    <tableStyle count="3" pivot="0" name="Ghana Fixed Income-style">
      <tableStyleElement dxfId="7" type="headerRow"/>
      <tableStyleElement dxfId="2" type="firstRowStripe"/>
      <tableStyleElement dxfId="3" type="secondRowStripe"/>
    </tableStyle>
    <tableStyle count="4" pivot="0" name="GSE Brokers And Licensed Dealin-style">
      <tableStyleElement dxfId="10" type="headerRow"/>
      <tableStyleElement dxfId="2" type="firstRowStripe"/>
      <tableStyleElement dxfId="3" type="secondRowStripe"/>
      <tableStyleElement dxfId="11" size="0" type="wholeTable"/>
    </tableStyle>
    <tableStyle count="4" pivot="0" name="Issuers-style">
      <tableStyleElement dxfId="12" type="headerRow"/>
      <tableStyleElement dxfId="2" type="firstRowStripe"/>
      <tableStyleElement dxfId="3" type="secondRowStripe"/>
      <tableStyleElement dxfId="11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1" displayName="Table_1" name="Table_1" id="1">
  <tableColumns count="9">
    <tableColumn name="Index" id="1"/>
    <tableColumn name="Country" id="2"/>
    <tableColumn name="Type of Exposure" id="3"/>
    <tableColumn name="% Change" id="4"/>
    <tableColumn name="Expected Reaction to Oil Shock" id="5"/>
    <tableColumn name="Start of War _x000a_27th February 2026" id="6"/>
    <tableColumn name=" 27th March 2026" id="7"/>
    <tableColumn name="Yahoo _x000a_Finance Ticker" id="8"/>
    <tableColumn name="Currency " id="9"/>
  </tableColumns>
  <tableStyleInfo name="Stock Index-style" showColumnStripes="0" showFirstColumn="1" showLastColumn="1" showRowStripes="1"/>
</table>
</file>

<file path=xl/tables/table2.xml><?xml version="1.0" encoding="utf-8"?>
<table xmlns="http://schemas.openxmlformats.org/spreadsheetml/2006/main" ref="A1:E83" displayName="Table_2" name="Table_2" id="2">
  <tableColumns count="5">
    <tableColumn name="List of GSE _x000a_Companies " id="1"/>
    <tableColumn name="Company Names " id="2"/>
    <tableColumn name="Start of War _x000a_28th February 2026" id="3"/>
    <tableColumn name=" 27th March 2026" id="4"/>
    <tableColumn name="% Change" id="5"/>
  </tableColumns>
  <tableStyleInfo name="GSE Companies-style" showColumnStripes="0" showFirstColumn="1" showLastColumn="1" showRowStripes="1"/>
</table>
</file>

<file path=xl/tables/table3.xml><?xml version="1.0" encoding="utf-8"?>
<table xmlns="http://schemas.openxmlformats.org/spreadsheetml/2006/main" headerRowCount="0" ref="A1:I15" displayName="Table_3" name="Table_3" id="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Commodit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A1:E5" displayName="Table_4" name="Table_4" id="4">
  <tableColumns count="5">
    <tableColumn name="Currency Markets" id="1"/>
    <tableColumn name=" 27th March 2026" id="2"/>
    <tableColumn name="(Start of War) As At _x000a_28th February 2026" id="3"/>
    <tableColumn name="% Change" id="4"/>
    <tableColumn name="Comments" id="5"/>
  </tableColumns>
  <tableStyleInfo name="Forex  Exchange -style" showColumnStripes="0" showFirstColumn="1" showLastColumn="1" showRowStripes="1"/>
</table>
</file>

<file path=xl/tables/table5.xml><?xml version="1.0" encoding="utf-8"?>
<table xmlns="http://schemas.openxmlformats.org/spreadsheetml/2006/main" ref="A9:E13" displayName="Table_5" name="Table_5" id="5">
  <tableColumns count="5">
    <tableColumn name="Currency Pair" id="1"/>
    <tableColumn name="Calculated % Change" id="2"/>
    <tableColumn name="Indicator" id="3"/>
    <tableColumn name="Direction" id="4"/>
    <tableColumn name="Comments" id="5"/>
  </tableColumns>
  <tableStyleInfo name="Forex  Exchange -style 2" showColumnStripes="0" showFirstColumn="1" showLastColumn="1" showRowStripes="1"/>
</table>
</file>

<file path=xl/tables/table6.xml><?xml version="1.0" encoding="utf-8"?>
<table xmlns="http://schemas.openxmlformats.org/spreadsheetml/2006/main" ref="A1:E7" displayName="Table_6" name="Table_6" id="6">
  <tableColumns count="5">
    <tableColumn name="Sovereign Credit Spread" id="1"/>
    <tableColumn name="Rate as At 27th February" id="2"/>
    <tableColumn name="Feb 27 Spread (bps)" id="3"/>
    <tableColumn name="Rate as at 27th March" id="4"/>
    <tableColumn name="March 27 Spread (bps)" id="5"/>
  </tableColumns>
  <tableStyleInfo name="Soverign Credit Spread-style" showColumnStripes="0" showFirstColumn="1" showLastColumn="1" showRowStripes="1"/>
</table>
</file>

<file path=xl/tables/table7.xml><?xml version="1.0" encoding="utf-8"?>
<table xmlns="http://schemas.openxmlformats.org/spreadsheetml/2006/main" ref="A10:E15" displayName="Table_7" name="Table_7" id="7">
  <tableColumns count="5">
    <tableColumn name="Country" id="1"/>
    <tableColumn name="Feb 27 Spread (bps)" id="2"/>
    <tableColumn name="March 27 Spread (bps)" id="3"/>
    <tableColumn name="Change (bps)" id="4"/>
    <tableColumn name="Direction" id="5"/>
  </tableColumns>
  <tableStyleInfo name="Soverign Credit Spread-style 2" showColumnStripes="0" showFirstColumn="1" showLastColumn="1" showRowStripes="1"/>
</table>
</file>

<file path=xl/tables/table8.xml><?xml version="1.0" encoding="utf-8"?>
<table xmlns="http://schemas.openxmlformats.org/spreadsheetml/2006/main" ref="A1:F15" displayName="Table_8" name="Table_8" id="8">
  <tableColumns count="6">
    <tableColumn name="Column 1" id="1"/>
    <tableColumn name="Rates As At_x000a_27th March 2026" id="2"/>
    <tableColumn name="Closing Prices " id="3"/>
    <tableColumn name="(Start of War) Rates As At _x000a_28th February 2026" id="4"/>
    <tableColumn name="Closing Prices  2" id="5"/>
    <tableColumn name="% Change" id="6"/>
  </tableColumns>
  <tableStyleInfo name="Ghana Fixed Income-style" showColumnStripes="0" showFirstColumn="1" showLastColumn="1" showRowStripes="1"/>
</table>
</file>

<file path=xl/tables/table9.xml><?xml version="1.0" encoding="utf-8"?>
<table xmlns="http://schemas.openxmlformats.org/spreadsheetml/2006/main" ref="A1:B26" displayName="GSE_Brokers_And_Licensed_Dealing_Members" name="GSE_Brokers_And_Licensed_Dealing_Members" id="9">
  <tableColumns count="2">
    <tableColumn name="Broker  GSE" id="1"/>
    <tableColumn name="Licensed Dealing Member List" id="2"/>
  </tableColumns>
  <tableStyleInfo name="GSE Brokers And Licensed Dealin-style" showColumnStripes="0" showFirstColumn="1" showLastColumn="1" showRowStripes="1"/>
</table>
</file>

<file path=xl/tables/table10.xml><?xml version="1.0" encoding="utf-8"?>
<table xmlns="http://schemas.openxmlformats.org/spreadsheetml/2006/main" ref="A1:A55" displayName="Issuers" name="Issuers" id="10">
  <tableColumns count="1">
    <tableColumn name="Company Name" id="1"/>
  </tableColumns>
  <tableStyleInfo name="Issu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000001.ss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8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9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13"/>
    <col customWidth="1" min="2" max="2" width="14.38"/>
    <col customWidth="1" min="3" max="3" width="42.5"/>
    <col customWidth="1" min="4" max="4" width="9.5"/>
    <col customWidth="1" min="5" max="5" width="35.5"/>
    <col customWidth="1" min="6" max="6" width="16.25"/>
    <col customWidth="1" min="7" max="7" width="14.38"/>
    <col customWidth="1" min="8" max="8" width="16.5"/>
    <col customWidth="1" min="9" max="9" width="16.0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1" t="s">
        <v>5</v>
      </c>
      <c r="G1" s="4" t="s">
        <v>6</v>
      </c>
      <c r="H1" s="4" t="s">
        <v>7</v>
      </c>
      <c r="I1" s="5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ht="15.75" customHeight="1">
      <c r="A2" s="7" t="s">
        <v>9</v>
      </c>
      <c r="B2" s="8" t="s">
        <v>10</v>
      </c>
      <c r="C2" s="9" t="s">
        <v>11</v>
      </c>
      <c r="D2" s="10">
        <f t="shared" ref="D2:D11" si="1">(G2-F2)/F2</f>
        <v>0.009370434837</v>
      </c>
      <c r="E2" s="11" t="s">
        <v>12</v>
      </c>
      <c r="F2" s="12">
        <v>12869.2</v>
      </c>
      <c r="G2" s="12">
        <v>12989.79</v>
      </c>
      <c r="H2" s="13" t="s">
        <v>13</v>
      </c>
      <c r="I2" s="14" t="s">
        <v>14</v>
      </c>
    </row>
    <row r="3" ht="14.25" customHeight="1">
      <c r="A3" s="13" t="s">
        <v>15</v>
      </c>
      <c r="B3" s="15" t="s">
        <v>16</v>
      </c>
      <c r="C3" s="11" t="s">
        <v>17</v>
      </c>
      <c r="D3" s="10">
        <f t="shared" si="1"/>
        <v>-0.07414433745</v>
      </c>
      <c r="E3" s="11" t="s">
        <v>18</v>
      </c>
      <c r="F3" s="12">
        <v>6878.88</v>
      </c>
      <c r="G3" s="16">
        <v>6368.85</v>
      </c>
      <c r="H3" s="13" t="s">
        <v>19</v>
      </c>
      <c r="I3" s="14" t="s">
        <v>20</v>
      </c>
    </row>
    <row r="4" ht="18.75" customHeight="1">
      <c r="A4" s="13" t="s">
        <v>21</v>
      </c>
      <c r="B4" s="15" t="s">
        <v>22</v>
      </c>
      <c r="C4" s="11" t="s">
        <v>23</v>
      </c>
      <c r="D4" s="10">
        <f t="shared" si="1"/>
        <v>0.000005016378476</v>
      </c>
      <c r="E4" s="11" t="s">
        <v>24</v>
      </c>
      <c r="F4" s="12">
        <v>9967.35</v>
      </c>
      <c r="G4" s="16">
        <v>9967.4</v>
      </c>
      <c r="H4" s="13" t="s">
        <v>25</v>
      </c>
      <c r="I4" s="14" t="s">
        <v>26</v>
      </c>
    </row>
    <row r="5" ht="18.0" customHeight="1">
      <c r="A5" s="13" t="s">
        <v>27</v>
      </c>
      <c r="B5" s="15" t="s">
        <v>28</v>
      </c>
      <c r="C5" s="11" t="s">
        <v>29</v>
      </c>
      <c r="D5" s="10">
        <f t="shared" si="1"/>
        <v>-0.1179987075</v>
      </c>
      <c r="E5" s="11" t="s">
        <v>30</v>
      </c>
      <c r="F5" s="12">
        <v>25284.26</v>
      </c>
      <c r="G5" s="16">
        <v>22300.75</v>
      </c>
      <c r="H5" s="13" t="s">
        <v>31</v>
      </c>
      <c r="I5" s="14" t="s">
        <v>32</v>
      </c>
    </row>
    <row r="6" ht="16.5" customHeight="1">
      <c r="A6" s="13" t="s">
        <v>33</v>
      </c>
      <c r="B6" s="15" t="s">
        <v>34</v>
      </c>
      <c r="C6" s="11" t="s">
        <v>35</v>
      </c>
      <c r="D6" s="10">
        <f t="shared" si="1"/>
        <v>-0.1298323079</v>
      </c>
      <c r="E6" s="11" t="s">
        <v>36</v>
      </c>
      <c r="F6" s="12">
        <v>128455.7</v>
      </c>
      <c r="G6" s="16">
        <v>111778.0</v>
      </c>
      <c r="H6" s="13" t="s">
        <v>37</v>
      </c>
      <c r="I6" s="14" t="s">
        <v>38</v>
      </c>
    </row>
    <row r="7" ht="18.0" customHeight="1">
      <c r="A7" s="13" t="s">
        <v>39</v>
      </c>
      <c r="B7" s="15" t="s">
        <v>40</v>
      </c>
      <c r="C7" s="11" t="s">
        <v>41</v>
      </c>
      <c r="D7" s="10">
        <f t="shared" si="1"/>
        <v>-0.09307009127</v>
      </c>
      <c r="E7" s="11" t="s">
        <v>42</v>
      </c>
      <c r="F7" s="12">
        <v>58850.27</v>
      </c>
      <c r="G7" s="16">
        <v>53373.07</v>
      </c>
      <c r="H7" s="13" t="s">
        <v>43</v>
      </c>
      <c r="I7" s="14" t="s">
        <v>44</v>
      </c>
    </row>
    <row r="8" ht="15.75" customHeight="1">
      <c r="A8" s="13" t="s">
        <v>45</v>
      </c>
      <c r="B8" s="15" t="s">
        <v>46</v>
      </c>
      <c r="C8" s="11" t="s">
        <v>47</v>
      </c>
      <c r="D8" s="10">
        <f t="shared" si="1"/>
        <v>-0.1289627218</v>
      </c>
      <c r="E8" s="11" t="s">
        <v>48</v>
      </c>
      <c r="F8" s="12">
        <v>6244.13</v>
      </c>
      <c r="G8" s="16">
        <v>5438.87</v>
      </c>
      <c r="H8" s="13" t="s">
        <v>49</v>
      </c>
      <c r="I8" s="14" t="s">
        <v>50</v>
      </c>
    </row>
    <row r="9" ht="15.0" customHeight="1">
      <c r="A9" s="13" t="s">
        <v>51</v>
      </c>
      <c r="B9" s="15" t="s">
        <v>52</v>
      </c>
      <c r="C9" s="11" t="s">
        <v>53</v>
      </c>
      <c r="D9" s="10">
        <f t="shared" si="1"/>
        <v>-0.07417433088</v>
      </c>
      <c r="E9" s="11" t="s">
        <v>54</v>
      </c>
      <c r="F9" s="12">
        <v>9198.6</v>
      </c>
      <c r="G9" s="16">
        <v>8516.3</v>
      </c>
      <c r="H9" s="13" t="s">
        <v>55</v>
      </c>
      <c r="I9" s="14" t="s">
        <v>56</v>
      </c>
    </row>
    <row r="10" ht="16.5" customHeight="1">
      <c r="A10" s="13" t="s">
        <v>57</v>
      </c>
      <c r="B10" s="15" t="s">
        <v>58</v>
      </c>
      <c r="C10" s="11" t="s">
        <v>59</v>
      </c>
      <c r="D10" s="10">
        <f t="shared" si="1"/>
        <v>-0.05985279422</v>
      </c>
      <c r="E10" s="11" t="s">
        <v>60</v>
      </c>
      <c r="F10" s="12">
        <v>4162.88</v>
      </c>
      <c r="G10" s="16">
        <v>3913.72</v>
      </c>
      <c r="H10" s="17" t="s">
        <v>61</v>
      </c>
      <c r="I10" s="14" t="s">
        <v>62</v>
      </c>
    </row>
    <row r="11" ht="15.0" customHeight="1">
      <c r="A11" s="13" t="s">
        <v>63</v>
      </c>
      <c r="B11" s="15" t="s">
        <v>64</v>
      </c>
      <c r="C11" s="11" t="s">
        <v>65</v>
      </c>
      <c r="D11" s="10">
        <f t="shared" si="1"/>
        <v>-0.06303514687</v>
      </c>
      <c r="E11" s="11" t="s">
        <v>66</v>
      </c>
      <c r="F11" s="12">
        <v>26630.54</v>
      </c>
      <c r="G11" s="16">
        <v>24951.88</v>
      </c>
      <c r="H11" s="13" t="s">
        <v>67</v>
      </c>
      <c r="I11" s="14" t="s">
        <v>68</v>
      </c>
    </row>
    <row r="12" ht="15.75" customHeight="1">
      <c r="D12" s="18"/>
    </row>
    <row r="13" ht="15.75" customHeight="1">
      <c r="D13" s="18"/>
    </row>
    <row r="14" ht="15.75" customHeight="1">
      <c r="D14" s="18"/>
    </row>
    <row r="15" ht="15.75" customHeight="1">
      <c r="D15" s="18"/>
    </row>
    <row r="16" ht="15.75" customHeight="1">
      <c r="D16" s="18"/>
    </row>
    <row r="17" ht="15.75" customHeight="1">
      <c r="D17" s="18"/>
    </row>
    <row r="18" ht="15.75" customHeight="1">
      <c r="D18" s="18"/>
    </row>
    <row r="19" ht="15.75" customHeight="1">
      <c r="D19" s="18"/>
    </row>
    <row r="20" ht="15.75" customHeight="1">
      <c r="D20" s="18"/>
    </row>
    <row r="21" ht="15.75" customHeight="1">
      <c r="D21" s="18"/>
    </row>
    <row r="22" ht="15.75" customHeight="1">
      <c r="D22" s="18"/>
    </row>
    <row r="23" ht="15.75" customHeight="1">
      <c r="D23" s="18"/>
    </row>
    <row r="24" ht="15.75" customHeight="1">
      <c r="D24" s="18"/>
    </row>
    <row r="25" ht="15.75" customHeight="1">
      <c r="D25" s="18"/>
    </row>
    <row r="26" ht="15.75" customHeight="1">
      <c r="D26" s="18"/>
    </row>
    <row r="27" ht="15.75" customHeight="1">
      <c r="D27" s="18"/>
    </row>
    <row r="28" ht="15.75" customHeight="1">
      <c r="D28" s="18"/>
    </row>
    <row r="29" ht="15.75" customHeight="1">
      <c r="D29" s="18"/>
    </row>
    <row r="30" ht="15.75" customHeight="1">
      <c r="D30" s="18"/>
    </row>
    <row r="31" ht="15.75" customHeight="1">
      <c r="D31" s="18"/>
    </row>
    <row r="32" ht="15.75" customHeight="1">
      <c r="D32" s="18"/>
    </row>
    <row r="33" ht="15.75" customHeight="1">
      <c r="D33" s="18"/>
    </row>
    <row r="34" ht="15.75" customHeight="1">
      <c r="D34" s="18"/>
    </row>
    <row r="35" ht="15.75" customHeight="1">
      <c r="D35" s="18"/>
    </row>
    <row r="36" ht="15.75" customHeight="1">
      <c r="D36" s="18"/>
    </row>
    <row r="37" ht="15.75" customHeight="1">
      <c r="D37" s="18"/>
    </row>
    <row r="38" ht="15.75" customHeight="1">
      <c r="D38" s="18"/>
    </row>
    <row r="39" ht="15.75" customHeight="1">
      <c r="D39" s="18"/>
    </row>
    <row r="40" ht="15.75" customHeight="1">
      <c r="D40" s="18"/>
    </row>
    <row r="41" ht="15.75" customHeight="1">
      <c r="D41" s="18"/>
    </row>
    <row r="42" ht="15.75" customHeight="1">
      <c r="D42" s="18"/>
    </row>
    <row r="43" ht="15.75" customHeight="1">
      <c r="D43" s="18"/>
    </row>
    <row r="44" ht="15.75" customHeight="1">
      <c r="D44" s="18"/>
    </row>
    <row r="45" ht="15.75" customHeight="1">
      <c r="D45" s="18"/>
    </row>
    <row r="46" ht="15.75" customHeight="1">
      <c r="D46" s="18"/>
    </row>
    <row r="47" ht="15.75" customHeight="1">
      <c r="D47" s="18"/>
    </row>
    <row r="48" ht="15.75" customHeight="1">
      <c r="D48" s="18"/>
    </row>
    <row r="49" ht="15.75" customHeight="1">
      <c r="D49" s="18"/>
    </row>
    <row r="50" ht="15.75" customHeight="1">
      <c r="D50" s="18"/>
    </row>
    <row r="51" ht="15.75" customHeight="1">
      <c r="D51" s="18"/>
    </row>
    <row r="52" ht="15.75" customHeight="1">
      <c r="D52" s="18"/>
    </row>
    <row r="53" ht="15.75" customHeight="1">
      <c r="D53" s="18"/>
    </row>
    <row r="54" ht="15.75" customHeight="1">
      <c r="D54" s="18"/>
    </row>
    <row r="55" ht="15.75" customHeight="1">
      <c r="D55" s="18"/>
    </row>
    <row r="56" ht="15.75" customHeight="1">
      <c r="D56" s="18"/>
    </row>
    <row r="57" ht="15.75" customHeight="1">
      <c r="D57" s="18"/>
    </row>
    <row r="58" ht="15.75" customHeight="1">
      <c r="D58" s="18"/>
    </row>
    <row r="59" ht="15.75" customHeight="1">
      <c r="D59" s="18"/>
    </row>
    <row r="60" ht="15.75" customHeight="1">
      <c r="D60" s="18"/>
    </row>
    <row r="61" ht="15.75" customHeight="1">
      <c r="D61" s="18"/>
    </row>
    <row r="62" ht="15.75" customHeight="1">
      <c r="D62" s="18"/>
    </row>
    <row r="63" ht="15.75" customHeight="1">
      <c r="D63" s="18"/>
    </row>
    <row r="64" ht="15.75" customHeight="1">
      <c r="D64" s="18"/>
    </row>
    <row r="65" ht="15.75" customHeight="1">
      <c r="D65" s="18"/>
    </row>
    <row r="66" ht="15.75" customHeight="1">
      <c r="D66" s="18"/>
    </row>
    <row r="67" ht="15.75" customHeight="1">
      <c r="D67" s="18"/>
    </row>
    <row r="68" ht="15.75" customHeight="1">
      <c r="D68" s="18"/>
    </row>
    <row r="69" ht="15.75" customHeight="1">
      <c r="D69" s="18"/>
    </row>
    <row r="70" ht="15.75" customHeight="1">
      <c r="D70" s="18"/>
    </row>
    <row r="71" ht="15.75" customHeight="1">
      <c r="D71" s="18"/>
    </row>
    <row r="72" ht="15.75" customHeight="1">
      <c r="D72" s="18"/>
    </row>
    <row r="73" ht="15.75" customHeight="1">
      <c r="D73" s="18"/>
    </row>
    <row r="74" ht="15.75" customHeight="1">
      <c r="D74" s="18"/>
    </row>
    <row r="75" ht="15.75" customHeight="1">
      <c r="D75" s="18"/>
    </row>
    <row r="76" ht="15.75" customHeight="1">
      <c r="D76" s="18"/>
    </row>
    <row r="77" ht="15.75" customHeight="1">
      <c r="D77" s="18"/>
    </row>
    <row r="78" ht="15.75" customHeight="1">
      <c r="D78" s="18"/>
    </row>
    <row r="79" ht="15.75" customHeight="1">
      <c r="D79" s="18"/>
    </row>
    <row r="80" ht="15.75" customHeight="1">
      <c r="D80" s="18"/>
    </row>
    <row r="81" ht="15.75" customHeight="1">
      <c r="D81" s="18"/>
    </row>
    <row r="82" ht="15.75" customHeight="1">
      <c r="D82" s="18"/>
    </row>
    <row r="83" ht="15.75" customHeight="1">
      <c r="D83" s="18"/>
    </row>
    <row r="84" ht="15.75" customHeight="1">
      <c r="D84" s="18"/>
    </row>
    <row r="85" ht="15.75" customHeight="1">
      <c r="D85" s="18"/>
    </row>
    <row r="86" ht="15.75" customHeight="1">
      <c r="D86" s="18"/>
    </row>
    <row r="87" ht="15.75" customHeight="1">
      <c r="D87" s="18"/>
    </row>
    <row r="88" ht="15.75" customHeight="1">
      <c r="D88" s="18"/>
    </row>
    <row r="89" ht="15.75" customHeight="1">
      <c r="D89" s="18"/>
    </row>
    <row r="90" ht="15.75" customHeight="1">
      <c r="D90" s="18"/>
    </row>
    <row r="91" ht="15.75" customHeight="1">
      <c r="D91" s="18"/>
    </row>
    <row r="92" ht="15.75" customHeight="1">
      <c r="D92" s="18"/>
    </row>
    <row r="93" ht="15.75" customHeight="1">
      <c r="D93" s="18"/>
    </row>
    <row r="94" ht="15.75" customHeight="1">
      <c r="D94" s="18"/>
    </row>
    <row r="95" ht="15.75" customHeight="1">
      <c r="D95" s="18"/>
    </row>
    <row r="96" ht="15.75" customHeight="1">
      <c r="D96" s="18"/>
    </row>
    <row r="97" ht="15.75" customHeight="1">
      <c r="D97" s="18"/>
    </row>
    <row r="98" ht="15.75" customHeight="1">
      <c r="D98" s="18"/>
    </row>
    <row r="99" ht="15.75" customHeight="1">
      <c r="D99" s="18"/>
    </row>
    <row r="100" ht="15.75" customHeight="1">
      <c r="D100" s="18"/>
    </row>
    <row r="101" ht="15.75" customHeight="1">
      <c r="D101" s="18"/>
    </row>
    <row r="102" ht="15.75" customHeight="1">
      <c r="D102" s="18"/>
    </row>
    <row r="103" ht="15.75" customHeight="1">
      <c r="D103" s="18"/>
    </row>
    <row r="104" ht="15.75" customHeight="1">
      <c r="D104" s="18"/>
    </row>
    <row r="105" ht="15.75" customHeight="1">
      <c r="D105" s="18"/>
    </row>
    <row r="106" ht="15.75" customHeight="1">
      <c r="D106" s="18"/>
    </row>
    <row r="107" ht="15.75" customHeight="1">
      <c r="D107" s="18"/>
    </row>
    <row r="108" ht="15.75" customHeight="1">
      <c r="D108" s="18"/>
    </row>
    <row r="109" ht="15.75" customHeight="1">
      <c r="D109" s="18"/>
    </row>
    <row r="110" ht="15.75" customHeight="1">
      <c r="D110" s="18"/>
    </row>
    <row r="111" ht="15.75" customHeight="1">
      <c r="D111" s="18"/>
    </row>
    <row r="112" ht="15.75" customHeight="1">
      <c r="D112" s="18"/>
    </row>
    <row r="113" ht="15.75" customHeight="1">
      <c r="D113" s="18"/>
    </row>
    <row r="114" ht="15.75" customHeight="1">
      <c r="D114" s="18"/>
    </row>
    <row r="115" ht="15.75" customHeight="1">
      <c r="D115" s="18"/>
    </row>
    <row r="116" ht="15.75" customHeight="1">
      <c r="D116" s="18"/>
    </row>
    <row r="117" ht="15.75" customHeight="1">
      <c r="D117" s="18"/>
    </row>
    <row r="118" ht="15.75" customHeight="1">
      <c r="D118" s="18"/>
    </row>
    <row r="119" ht="15.75" customHeight="1">
      <c r="D119" s="18"/>
    </row>
    <row r="120" ht="15.75" customHeight="1">
      <c r="D120" s="18"/>
    </row>
    <row r="121" ht="15.75" customHeight="1">
      <c r="D121" s="18"/>
    </row>
    <row r="122" ht="15.75" customHeight="1">
      <c r="D122" s="18"/>
    </row>
    <row r="123" ht="15.75" customHeight="1">
      <c r="D123" s="18"/>
    </row>
    <row r="124" ht="15.75" customHeight="1">
      <c r="D124" s="18"/>
    </row>
    <row r="125" ht="15.75" customHeight="1">
      <c r="D125" s="18"/>
    </row>
    <row r="126" ht="15.75" customHeight="1">
      <c r="D126" s="18"/>
    </row>
    <row r="127" ht="15.75" customHeight="1">
      <c r="D127" s="18"/>
    </row>
    <row r="128" ht="15.75" customHeight="1">
      <c r="D128" s="18"/>
    </row>
    <row r="129" ht="15.75" customHeight="1">
      <c r="D129" s="18"/>
    </row>
    <row r="130" ht="15.75" customHeight="1">
      <c r="D130" s="18"/>
    </row>
    <row r="131" ht="15.75" customHeight="1">
      <c r="D131" s="18"/>
    </row>
    <row r="132" ht="15.75" customHeight="1">
      <c r="D132" s="18"/>
    </row>
    <row r="133" ht="15.75" customHeight="1">
      <c r="D133" s="18"/>
    </row>
    <row r="134" ht="15.75" customHeight="1">
      <c r="D134" s="18"/>
    </row>
    <row r="135" ht="15.75" customHeight="1">
      <c r="D135" s="18"/>
    </row>
    <row r="136" ht="15.75" customHeight="1">
      <c r="D136" s="18"/>
    </row>
    <row r="137" ht="15.75" customHeight="1">
      <c r="D137" s="18"/>
    </row>
    <row r="138" ht="15.75" customHeight="1">
      <c r="D138" s="18"/>
    </row>
    <row r="139" ht="15.75" customHeight="1">
      <c r="D139" s="18"/>
    </row>
    <row r="140" ht="15.75" customHeight="1">
      <c r="D140" s="18"/>
    </row>
    <row r="141" ht="15.75" customHeight="1">
      <c r="D141" s="18"/>
    </row>
    <row r="142" ht="15.75" customHeight="1">
      <c r="D142" s="18"/>
    </row>
    <row r="143" ht="15.75" customHeight="1">
      <c r="D143" s="18"/>
    </row>
    <row r="144" ht="15.75" customHeight="1">
      <c r="D144" s="18"/>
    </row>
    <row r="145" ht="15.75" customHeight="1">
      <c r="D145" s="18"/>
    </row>
    <row r="146" ht="15.75" customHeight="1">
      <c r="D146" s="18"/>
    </row>
    <row r="147" ht="15.75" customHeight="1">
      <c r="D147" s="18"/>
    </row>
    <row r="148" ht="15.75" customHeight="1">
      <c r="D148" s="18"/>
    </row>
    <row r="149" ht="15.75" customHeight="1">
      <c r="D149" s="18"/>
    </row>
    <row r="150" ht="15.75" customHeight="1">
      <c r="D150" s="18"/>
    </row>
    <row r="151" ht="15.75" customHeight="1">
      <c r="D151" s="18"/>
    </row>
    <row r="152" ht="15.75" customHeight="1">
      <c r="D152" s="18"/>
    </row>
    <row r="153" ht="15.75" customHeight="1">
      <c r="D153" s="18"/>
    </row>
    <row r="154" ht="15.75" customHeight="1">
      <c r="D154" s="18"/>
    </row>
    <row r="155" ht="15.75" customHeight="1">
      <c r="D155" s="18"/>
    </row>
    <row r="156" ht="15.75" customHeight="1">
      <c r="D156" s="18"/>
    </row>
    <row r="157" ht="15.75" customHeight="1">
      <c r="D157" s="18"/>
    </row>
    <row r="158" ht="15.75" customHeight="1">
      <c r="D158" s="18"/>
    </row>
    <row r="159" ht="15.75" customHeight="1">
      <c r="D159" s="18"/>
    </row>
    <row r="160" ht="15.75" customHeight="1">
      <c r="D160" s="18"/>
    </row>
    <row r="161" ht="15.75" customHeight="1">
      <c r="D161" s="18"/>
    </row>
    <row r="162" ht="15.75" customHeight="1">
      <c r="D162" s="18"/>
    </row>
    <row r="163" ht="15.75" customHeight="1">
      <c r="D163" s="18"/>
    </row>
    <row r="164" ht="15.75" customHeight="1">
      <c r="D164" s="18"/>
    </row>
    <row r="165" ht="15.75" customHeight="1">
      <c r="D165" s="18"/>
    </row>
    <row r="166" ht="15.75" customHeight="1">
      <c r="D166" s="18"/>
    </row>
    <row r="167" ht="15.75" customHeight="1">
      <c r="D167" s="18"/>
    </row>
    <row r="168" ht="15.75" customHeight="1">
      <c r="D168" s="18"/>
    </row>
    <row r="169" ht="15.75" customHeight="1">
      <c r="D169" s="18"/>
    </row>
    <row r="170" ht="15.75" customHeight="1">
      <c r="D170" s="18"/>
    </row>
    <row r="171" ht="15.75" customHeight="1">
      <c r="D171" s="18"/>
    </row>
    <row r="172" ht="15.75" customHeight="1">
      <c r="D172" s="18"/>
    </row>
    <row r="173" ht="15.75" customHeight="1">
      <c r="D173" s="18"/>
    </row>
    <row r="174" ht="15.75" customHeight="1">
      <c r="D174" s="18"/>
    </row>
    <row r="175" ht="15.75" customHeight="1">
      <c r="D175" s="18"/>
    </row>
    <row r="176" ht="15.75" customHeight="1">
      <c r="D176" s="18"/>
    </row>
    <row r="177" ht="15.75" customHeight="1">
      <c r="D177" s="18"/>
    </row>
    <row r="178" ht="15.75" customHeight="1">
      <c r="D178" s="18"/>
    </row>
    <row r="179" ht="15.75" customHeight="1">
      <c r="D179" s="18"/>
    </row>
    <row r="180" ht="15.75" customHeight="1">
      <c r="D180" s="18"/>
    </row>
    <row r="181" ht="15.75" customHeight="1">
      <c r="D181" s="18"/>
    </row>
    <row r="182" ht="15.75" customHeight="1">
      <c r="D182" s="18"/>
    </row>
    <row r="183" ht="15.75" customHeight="1">
      <c r="D183" s="18"/>
    </row>
    <row r="184" ht="15.75" customHeight="1">
      <c r="D184" s="18"/>
    </row>
    <row r="185" ht="15.75" customHeight="1">
      <c r="D185" s="18"/>
    </row>
    <row r="186" ht="15.75" customHeight="1">
      <c r="D186" s="18"/>
    </row>
    <row r="187" ht="15.75" customHeight="1">
      <c r="D187" s="18"/>
    </row>
    <row r="188" ht="15.75" customHeight="1">
      <c r="D188" s="18"/>
    </row>
    <row r="189" ht="15.75" customHeight="1">
      <c r="D189" s="18"/>
    </row>
    <row r="190" ht="15.75" customHeight="1">
      <c r="D190" s="18"/>
    </row>
    <row r="191" ht="15.75" customHeight="1">
      <c r="D191" s="18"/>
    </row>
    <row r="192" ht="15.75" customHeight="1">
      <c r="D192" s="18"/>
    </row>
    <row r="193" ht="15.75" customHeight="1">
      <c r="D193" s="18"/>
    </row>
    <row r="194" ht="15.75" customHeight="1">
      <c r="D194" s="18"/>
    </row>
    <row r="195" ht="15.75" customHeight="1">
      <c r="D195" s="18"/>
    </row>
    <row r="196" ht="15.75" customHeight="1">
      <c r="D196" s="18"/>
    </row>
    <row r="197" ht="15.75" customHeight="1">
      <c r="D197" s="18"/>
    </row>
    <row r="198" ht="15.75" customHeight="1">
      <c r="D198" s="18"/>
    </row>
    <row r="199" ht="15.75" customHeight="1">
      <c r="D199" s="18"/>
    </row>
    <row r="200" ht="15.75" customHeight="1">
      <c r="D200" s="18"/>
    </row>
    <row r="201" ht="15.75" customHeight="1">
      <c r="D201" s="18"/>
    </row>
    <row r="202" ht="15.75" customHeight="1">
      <c r="D202" s="18"/>
    </row>
    <row r="203" ht="15.75" customHeight="1">
      <c r="D203" s="18"/>
    </row>
    <row r="204" ht="15.75" customHeight="1">
      <c r="D204" s="18"/>
    </row>
    <row r="205" ht="15.75" customHeight="1">
      <c r="D205" s="18"/>
    </row>
    <row r="206" ht="15.75" customHeight="1">
      <c r="D206" s="18"/>
    </row>
    <row r="207" ht="15.75" customHeight="1">
      <c r="D207" s="18"/>
    </row>
    <row r="208" ht="15.75" customHeight="1">
      <c r="D208" s="18"/>
    </row>
    <row r="209" ht="15.75" customHeight="1">
      <c r="D209" s="18"/>
    </row>
    <row r="210" ht="15.75" customHeight="1">
      <c r="D210" s="18"/>
    </row>
    <row r="211" ht="15.75" customHeight="1">
      <c r="D211" s="18"/>
    </row>
    <row r="212" ht="15.75" customHeight="1">
      <c r="D212" s="18"/>
    </row>
    <row r="213" ht="15.75" customHeight="1">
      <c r="D213" s="18"/>
    </row>
    <row r="214" ht="15.75" customHeight="1">
      <c r="D214" s="18"/>
    </row>
    <row r="215" ht="15.75" customHeight="1">
      <c r="D215" s="18"/>
    </row>
    <row r="216" ht="15.75" customHeight="1">
      <c r="D216" s="18"/>
    </row>
    <row r="217" ht="15.75" customHeight="1">
      <c r="D217" s="18"/>
    </row>
    <row r="218" ht="15.75" customHeight="1">
      <c r="D218" s="18"/>
    </row>
    <row r="219" ht="15.75" customHeight="1">
      <c r="D219" s="18"/>
    </row>
    <row r="220" ht="15.75" customHeight="1">
      <c r="D220" s="18"/>
    </row>
    <row r="221" ht="15.75" customHeight="1">
      <c r="D221" s="18"/>
    </row>
    <row r="222" ht="15.75" customHeight="1">
      <c r="D222" s="18"/>
    </row>
    <row r="223" ht="15.75" customHeight="1">
      <c r="D223" s="18"/>
    </row>
    <row r="224" ht="15.75" customHeight="1">
      <c r="D224" s="18"/>
    </row>
    <row r="225" ht="15.75" customHeight="1">
      <c r="D225" s="18"/>
    </row>
    <row r="226" ht="15.75" customHeight="1">
      <c r="D226" s="18"/>
    </row>
    <row r="227" ht="15.75" customHeight="1">
      <c r="D227" s="18"/>
    </row>
    <row r="228" ht="15.75" customHeight="1">
      <c r="D228" s="18"/>
    </row>
    <row r="229" ht="15.75" customHeight="1">
      <c r="D229" s="18"/>
    </row>
    <row r="230" ht="15.75" customHeight="1">
      <c r="D230" s="18"/>
    </row>
    <row r="231" ht="15.75" customHeight="1">
      <c r="D231" s="18"/>
    </row>
    <row r="232" ht="15.75" customHeight="1">
      <c r="D232" s="18"/>
    </row>
    <row r="233" ht="15.75" customHeight="1">
      <c r="D233" s="18"/>
    </row>
    <row r="234" ht="15.75" customHeight="1">
      <c r="D234" s="18"/>
    </row>
    <row r="235" ht="15.75" customHeight="1">
      <c r="D235" s="18"/>
    </row>
    <row r="236" ht="15.75" customHeight="1">
      <c r="D236" s="18"/>
    </row>
    <row r="237" ht="15.75" customHeight="1">
      <c r="D237" s="18"/>
    </row>
    <row r="238" ht="15.75" customHeight="1">
      <c r="D238" s="18"/>
    </row>
    <row r="239" ht="15.75" customHeight="1">
      <c r="D239" s="18"/>
    </row>
    <row r="240" ht="15.75" customHeight="1">
      <c r="D240" s="18"/>
    </row>
    <row r="241" ht="15.75" customHeight="1">
      <c r="D241" s="18"/>
    </row>
    <row r="242" ht="15.75" customHeight="1">
      <c r="D242" s="18"/>
    </row>
    <row r="243" ht="15.75" customHeight="1">
      <c r="D243" s="18"/>
    </row>
    <row r="244" ht="15.75" customHeight="1">
      <c r="D244" s="18"/>
    </row>
    <row r="245" ht="15.75" customHeight="1">
      <c r="D245" s="18"/>
    </row>
    <row r="246" ht="15.75" customHeight="1">
      <c r="D246" s="18"/>
    </row>
    <row r="247" ht="15.75" customHeight="1">
      <c r="D247" s="18"/>
    </row>
    <row r="248" ht="15.75" customHeight="1">
      <c r="D248" s="18"/>
    </row>
    <row r="249" ht="15.75" customHeight="1">
      <c r="D249" s="18"/>
    </row>
    <row r="250" ht="15.75" customHeight="1">
      <c r="D250" s="18"/>
    </row>
    <row r="251" ht="15.75" customHeight="1">
      <c r="D251" s="18"/>
    </row>
    <row r="252" ht="15.75" customHeight="1">
      <c r="D252" s="18"/>
    </row>
    <row r="253" ht="15.75" customHeight="1">
      <c r="D253" s="18"/>
    </row>
    <row r="254" ht="15.75" customHeight="1">
      <c r="D254" s="18"/>
    </row>
    <row r="255" ht="15.75" customHeight="1">
      <c r="D255" s="18"/>
    </row>
    <row r="256" ht="15.75" customHeight="1">
      <c r="D256" s="18"/>
    </row>
    <row r="257" ht="15.75" customHeight="1">
      <c r="D257" s="18"/>
    </row>
    <row r="258" ht="15.75" customHeight="1">
      <c r="D258" s="18"/>
    </row>
    <row r="259" ht="15.75" customHeight="1">
      <c r="D259" s="18"/>
    </row>
    <row r="260" ht="15.75" customHeight="1">
      <c r="D260" s="18"/>
    </row>
    <row r="261" ht="15.75" customHeight="1">
      <c r="D261" s="18"/>
    </row>
    <row r="262" ht="15.75" customHeight="1">
      <c r="D262" s="18"/>
    </row>
    <row r="263" ht="15.75" customHeight="1">
      <c r="D263" s="18"/>
    </row>
    <row r="264" ht="15.75" customHeight="1">
      <c r="D264" s="18"/>
    </row>
    <row r="265" ht="15.75" customHeight="1">
      <c r="D265" s="18"/>
    </row>
    <row r="266" ht="15.75" customHeight="1">
      <c r="D266" s="18"/>
    </row>
    <row r="267" ht="15.75" customHeight="1">
      <c r="D267" s="18"/>
    </row>
    <row r="268" ht="15.75" customHeight="1">
      <c r="D268" s="18"/>
    </row>
    <row r="269" ht="15.75" customHeight="1">
      <c r="D269" s="18"/>
    </row>
    <row r="270" ht="15.75" customHeight="1">
      <c r="D270" s="18"/>
    </row>
    <row r="271" ht="15.75" customHeight="1">
      <c r="D271" s="18"/>
    </row>
    <row r="272" ht="15.75" customHeight="1">
      <c r="D272" s="18"/>
    </row>
    <row r="273" ht="15.75" customHeight="1">
      <c r="D273" s="18"/>
    </row>
    <row r="274" ht="15.75" customHeight="1">
      <c r="D274" s="18"/>
    </row>
    <row r="275" ht="15.75" customHeight="1">
      <c r="D275" s="18"/>
    </row>
    <row r="276" ht="15.75" customHeight="1">
      <c r="D276" s="18"/>
    </row>
    <row r="277" ht="15.75" customHeight="1">
      <c r="D277" s="18"/>
    </row>
    <row r="278" ht="15.75" customHeight="1">
      <c r="D278" s="18"/>
    </row>
    <row r="279" ht="15.75" customHeight="1">
      <c r="D279" s="18"/>
    </row>
    <row r="280" ht="15.75" customHeight="1">
      <c r="D280" s="18"/>
    </row>
    <row r="281" ht="15.75" customHeight="1">
      <c r="D281" s="18"/>
    </row>
    <row r="282" ht="15.75" customHeight="1">
      <c r="D282" s="18"/>
    </row>
    <row r="283" ht="15.75" customHeight="1">
      <c r="D283" s="18"/>
    </row>
    <row r="284" ht="15.75" customHeight="1">
      <c r="D284" s="18"/>
    </row>
    <row r="285" ht="15.75" customHeight="1">
      <c r="D285" s="18"/>
    </row>
    <row r="286" ht="15.75" customHeight="1">
      <c r="D286" s="18"/>
    </row>
    <row r="287" ht="15.75" customHeight="1">
      <c r="D287" s="18"/>
    </row>
    <row r="288" ht="15.75" customHeight="1">
      <c r="D288" s="18"/>
    </row>
    <row r="289" ht="15.75" customHeight="1">
      <c r="D289" s="18"/>
    </row>
    <row r="290" ht="15.75" customHeight="1">
      <c r="D290" s="18"/>
    </row>
    <row r="291" ht="15.75" customHeight="1">
      <c r="D291" s="18"/>
    </row>
    <row r="292" ht="15.75" customHeight="1">
      <c r="D292" s="18"/>
    </row>
    <row r="293" ht="15.75" customHeight="1">
      <c r="D293" s="18"/>
    </row>
    <row r="294" ht="15.75" customHeight="1">
      <c r="D294" s="18"/>
    </row>
    <row r="295" ht="15.75" customHeight="1">
      <c r="D295" s="18"/>
    </row>
    <row r="296" ht="15.75" customHeight="1">
      <c r="D296" s="18"/>
    </row>
    <row r="297" ht="15.75" customHeight="1">
      <c r="D297" s="18"/>
    </row>
    <row r="298" ht="15.75" customHeight="1">
      <c r="D298" s="18"/>
    </row>
    <row r="299" ht="15.75" customHeight="1">
      <c r="D299" s="18"/>
    </row>
    <row r="300" ht="15.75" customHeight="1">
      <c r="D300" s="18"/>
    </row>
    <row r="301" ht="15.75" customHeight="1">
      <c r="D301" s="18"/>
    </row>
    <row r="302" ht="15.75" customHeight="1">
      <c r="D302" s="18"/>
    </row>
    <row r="303" ht="15.75" customHeight="1">
      <c r="D303" s="18"/>
    </row>
    <row r="304" ht="15.75" customHeight="1">
      <c r="D304" s="18"/>
    </row>
    <row r="305" ht="15.75" customHeight="1">
      <c r="D305" s="18"/>
    </row>
    <row r="306" ht="15.75" customHeight="1">
      <c r="D306" s="18"/>
    </row>
    <row r="307" ht="15.75" customHeight="1">
      <c r="D307" s="18"/>
    </row>
    <row r="308" ht="15.75" customHeight="1">
      <c r="D308" s="18"/>
    </row>
    <row r="309" ht="15.75" customHeight="1">
      <c r="D309" s="18"/>
    </row>
    <row r="310" ht="15.75" customHeight="1">
      <c r="D310" s="18"/>
    </row>
    <row r="311" ht="15.75" customHeight="1">
      <c r="D311" s="18"/>
    </row>
    <row r="312" ht="15.75" customHeight="1">
      <c r="D312" s="18"/>
    </row>
    <row r="313" ht="15.75" customHeight="1">
      <c r="D313" s="18"/>
    </row>
    <row r="314" ht="15.75" customHeight="1">
      <c r="D314" s="18"/>
    </row>
    <row r="315" ht="15.75" customHeight="1">
      <c r="D315" s="18"/>
    </row>
    <row r="316" ht="15.75" customHeight="1">
      <c r="D316" s="18"/>
    </row>
    <row r="317" ht="15.75" customHeight="1">
      <c r="D317" s="18"/>
    </row>
    <row r="318" ht="15.75" customHeight="1">
      <c r="D318" s="18"/>
    </row>
    <row r="319" ht="15.75" customHeight="1">
      <c r="D319" s="18"/>
    </row>
    <row r="320" ht="15.75" customHeight="1">
      <c r="D320" s="18"/>
    </row>
    <row r="321" ht="15.75" customHeight="1">
      <c r="D321" s="18"/>
    </row>
    <row r="322" ht="15.75" customHeight="1">
      <c r="D322" s="18"/>
    </row>
    <row r="323" ht="15.75" customHeight="1">
      <c r="D323" s="18"/>
    </row>
    <row r="324" ht="15.75" customHeight="1">
      <c r="D324" s="18"/>
    </row>
    <row r="325" ht="15.75" customHeight="1">
      <c r="D325" s="18"/>
    </row>
    <row r="326" ht="15.75" customHeight="1">
      <c r="D326" s="18"/>
    </row>
    <row r="327" ht="15.75" customHeight="1">
      <c r="D327" s="18"/>
    </row>
    <row r="328" ht="15.75" customHeight="1">
      <c r="D328" s="18"/>
    </row>
    <row r="329" ht="15.75" customHeight="1">
      <c r="D329" s="18"/>
    </row>
    <row r="330" ht="15.75" customHeight="1">
      <c r="D330" s="18"/>
    </row>
    <row r="331" ht="15.75" customHeight="1">
      <c r="D331" s="18"/>
    </row>
    <row r="332" ht="15.75" customHeight="1">
      <c r="D332" s="18"/>
    </row>
    <row r="333" ht="15.75" customHeight="1">
      <c r="D333" s="18"/>
    </row>
    <row r="334" ht="15.75" customHeight="1">
      <c r="D334" s="18"/>
    </row>
    <row r="335" ht="15.75" customHeight="1">
      <c r="D335" s="18"/>
    </row>
    <row r="336" ht="15.75" customHeight="1">
      <c r="D336" s="18"/>
    </row>
    <row r="337" ht="15.75" customHeight="1">
      <c r="D337" s="18"/>
    </row>
    <row r="338" ht="15.75" customHeight="1">
      <c r="D338" s="18"/>
    </row>
    <row r="339" ht="15.75" customHeight="1">
      <c r="D339" s="18"/>
    </row>
    <row r="340" ht="15.75" customHeight="1">
      <c r="D340" s="18"/>
    </row>
    <row r="341" ht="15.75" customHeight="1">
      <c r="D341" s="18"/>
    </row>
    <row r="342" ht="15.75" customHeight="1">
      <c r="D342" s="18"/>
    </row>
    <row r="343" ht="15.75" customHeight="1">
      <c r="D343" s="18"/>
    </row>
    <row r="344" ht="15.75" customHeight="1">
      <c r="D344" s="18"/>
    </row>
    <row r="345" ht="15.75" customHeight="1">
      <c r="D345" s="18"/>
    </row>
    <row r="346" ht="15.75" customHeight="1">
      <c r="D346" s="18"/>
    </row>
    <row r="347" ht="15.75" customHeight="1">
      <c r="D347" s="18"/>
    </row>
    <row r="348" ht="15.75" customHeight="1">
      <c r="D348" s="18"/>
    </row>
    <row r="349" ht="15.75" customHeight="1">
      <c r="D349" s="18"/>
    </row>
    <row r="350" ht="15.75" customHeight="1">
      <c r="D350" s="18"/>
    </row>
    <row r="351" ht="15.75" customHeight="1">
      <c r="D351" s="18"/>
    </row>
    <row r="352" ht="15.75" customHeight="1">
      <c r="D352" s="18"/>
    </row>
    <row r="353" ht="15.75" customHeight="1">
      <c r="D353" s="18"/>
    </row>
    <row r="354" ht="15.75" customHeight="1">
      <c r="D354" s="18"/>
    </row>
    <row r="355" ht="15.75" customHeight="1">
      <c r="D355" s="18"/>
    </row>
    <row r="356" ht="15.75" customHeight="1">
      <c r="D356" s="18"/>
    </row>
    <row r="357" ht="15.75" customHeight="1">
      <c r="D357" s="18"/>
    </row>
    <row r="358" ht="15.75" customHeight="1">
      <c r="D358" s="18"/>
    </row>
    <row r="359" ht="15.75" customHeight="1">
      <c r="D359" s="18"/>
    </row>
    <row r="360" ht="15.75" customHeight="1">
      <c r="D360" s="18"/>
    </row>
    <row r="361" ht="15.75" customHeight="1">
      <c r="D361" s="18"/>
    </row>
    <row r="362" ht="15.75" customHeight="1">
      <c r="D362" s="18"/>
    </row>
    <row r="363" ht="15.75" customHeight="1">
      <c r="D363" s="18"/>
    </row>
    <row r="364" ht="15.75" customHeight="1">
      <c r="D364" s="18"/>
    </row>
    <row r="365" ht="15.75" customHeight="1">
      <c r="D365" s="18"/>
    </row>
    <row r="366" ht="15.75" customHeight="1">
      <c r="D366" s="18"/>
    </row>
    <row r="367" ht="15.75" customHeight="1">
      <c r="D367" s="18"/>
    </row>
    <row r="368" ht="15.75" customHeight="1">
      <c r="D368" s="18"/>
    </row>
    <row r="369" ht="15.75" customHeight="1">
      <c r="D369" s="18"/>
    </row>
    <row r="370" ht="15.75" customHeight="1">
      <c r="D370" s="18"/>
    </row>
    <row r="371" ht="15.75" customHeight="1">
      <c r="D371" s="18"/>
    </row>
    <row r="372" ht="15.75" customHeight="1">
      <c r="D372" s="18"/>
    </row>
    <row r="373" ht="15.75" customHeight="1">
      <c r="D373" s="18"/>
    </row>
    <row r="374" ht="15.75" customHeight="1">
      <c r="D374" s="18"/>
    </row>
    <row r="375" ht="15.75" customHeight="1">
      <c r="D375" s="18"/>
    </row>
    <row r="376" ht="15.75" customHeight="1">
      <c r="D376" s="18"/>
    </row>
    <row r="377" ht="15.75" customHeight="1">
      <c r="D377" s="18"/>
    </row>
    <row r="378" ht="15.75" customHeight="1">
      <c r="D378" s="18"/>
    </row>
    <row r="379" ht="15.75" customHeight="1">
      <c r="D379" s="18"/>
    </row>
    <row r="380" ht="15.75" customHeight="1">
      <c r="D380" s="18"/>
    </row>
    <row r="381" ht="15.75" customHeight="1">
      <c r="D381" s="18"/>
    </row>
    <row r="382" ht="15.75" customHeight="1">
      <c r="D382" s="18"/>
    </row>
    <row r="383" ht="15.75" customHeight="1">
      <c r="D383" s="18"/>
    </row>
    <row r="384" ht="15.75" customHeight="1">
      <c r="D384" s="18"/>
    </row>
    <row r="385" ht="15.75" customHeight="1">
      <c r="D385" s="18"/>
    </row>
    <row r="386" ht="15.75" customHeight="1">
      <c r="D386" s="18"/>
    </row>
    <row r="387" ht="15.75" customHeight="1">
      <c r="D387" s="18"/>
    </row>
    <row r="388" ht="15.75" customHeight="1">
      <c r="D388" s="18"/>
    </row>
    <row r="389" ht="15.75" customHeight="1">
      <c r="D389" s="18"/>
    </row>
    <row r="390" ht="15.75" customHeight="1">
      <c r="D390" s="18"/>
    </row>
    <row r="391" ht="15.75" customHeight="1">
      <c r="D391" s="18"/>
    </row>
    <row r="392" ht="15.75" customHeight="1">
      <c r="D392" s="18"/>
    </row>
    <row r="393" ht="15.75" customHeight="1">
      <c r="D393" s="18"/>
    </row>
    <row r="394" ht="15.75" customHeight="1">
      <c r="D394" s="18"/>
    </row>
    <row r="395" ht="15.75" customHeight="1">
      <c r="D395" s="18"/>
    </row>
    <row r="396" ht="15.75" customHeight="1">
      <c r="D396" s="18"/>
    </row>
    <row r="397" ht="15.75" customHeight="1">
      <c r="D397" s="18"/>
    </row>
    <row r="398" ht="15.75" customHeight="1">
      <c r="D398" s="18"/>
    </row>
    <row r="399" ht="15.75" customHeight="1">
      <c r="D399" s="18"/>
    </row>
    <row r="400" ht="15.75" customHeight="1">
      <c r="D400" s="18"/>
    </row>
    <row r="401" ht="15.75" customHeight="1">
      <c r="D401" s="18"/>
    </row>
    <row r="402" ht="15.75" customHeight="1">
      <c r="D402" s="18"/>
    </row>
    <row r="403" ht="15.75" customHeight="1">
      <c r="D403" s="18"/>
    </row>
    <row r="404" ht="15.75" customHeight="1">
      <c r="D404" s="18"/>
    </row>
    <row r="405" ht="15.75" customHeight="1">
      <c r="D405" s="18"/>
    </row>
    <row r="406" ht="15.75" customHeight="1">
      <c r="D406" s="18"/>
    </row>
    <row r="407" ht="15.75" customHeight="1">
      <c r="D407" s="18"/>
    </row>
    <row r="408" ht="15.75" customHeight="1">
      <c r="D408" s="18"/>
    </row>
    <row r="409" ht="15.75" customHeight="1">
      <c r="D409" s="18"/>
    </row>
    <row r="410" ht="15.75" customHeight="1">
      <c r="D410" s="18"/>
    </row>
    <row r="411" ht="15.75" customHeight="1">
      <c r="D411" s="18"/>
    </row>
    <row r="412" ht="15.75" customHeight="1">
      <c r="D412" s="18"/>
    </row>
    <row r="413" ht="15.75" customHeight="1">
      <c r="D413" s="18"/>
    </row>
    <row r="414" ht="15.75" customHeight="1">
      <c r="D414" s="18"/>
    </row>
    <row r="415" ht="15.75" customHeight="1">
      <c r="D415" s="18"/>
    </row>
    <row r="416" ht="15.75" customHeight="1">
      <c r="D416" s="18"/>
    </row>
    <row r="417" ht="15.75" customHeight="1">
      <c r="D417" s="18"/>
    </row>
    <row r="418" ht="15.75" customHeight="1">
      <c r="D418" s="18"/>
    </row>
    <row r="419" ht="15.75" customHeight="1">
      <c r="D419" s="18"/>
    </row>
    <row r="420" ht="15.75" customHeight="1">
      <c r="D420" s="18"/>
    </row>
    <row r="421" ht="15.75" customHeight="1">
      <c r="D421" s="18"/>
    </row>
    <row r="422" ht="15.75" customHeight="1">
      <c r="D422" s="18"/>
    </row>
    <row r="423" ht="15.75" customHeight="1">
      <c r="D423" s="18"/>
    </row>
    <row r="424" ht="15.75" customHeight="1">
      <c r="D424" s="18"/>
    </row>
    <row r="425" ht="15.75" customHeight="1">
      <c r="D425" s="18"/>
    </row>
    <row r="426" ht="15.75" customHeight="1">
      <c r="D426" s="18"/>
    </row>
    <row r="427" ht="15.75" customHeight="1">
      <c r="D427" s="18"/>
    </row>
    <row r="428" ht="15.75" customHeight="1">
      <c r="D428" s="18"/>
    </row>
    <row r="429" ht="15.75" customHeight="1">
      <c r="D429" s="18"/>
    </row>
    <row r="430" ht="15.75" customHeight="1">
      <c r="D430" s="18"/>
    </row>
    <row r="431" ht="15.75" customHeight="1">
      <c r="D431" s="18"/>
    </row>
    <row r="432" ht="15.75" customHeight="1">
      <c r="D432" s="18"/>
    </row>
    <row r="433" ht="15.75" customHeight="1">
      <c r="D433" s="18"/>
    </row>
    <row r="434" ht="15.75" customHeight="1">
      <c r="D434" s="18"/>
    </row>
    <row r="435" ht="15.75" customHeight="1">
      <c r="D435" s="18"/>
    </row>
    <row r="436" ht="15.75" customHeight="1">
      <c r="D436" s="18"/>
    </row>
    <row r="437" ht="15.75" customHeight="1">
      <c r="D437" s="18"/>
    </row>
    <row r="438" ht="15.75" customHeight="1">
      <c r="D438" s="18"/>
    </row>
    <row r="439" ht="15.75" customHeight="1">
      <c r="D439" s="18"/>
    </row>
    <row r="440" ht="15.75" customHeight="1">
      <c r="D440" s="18"/>
    </row>
    <row r="441" ht="15.75" customHeight="1">
      <c r="D441" s="18"/>
    </row>
    <row r="442" ht="15.75" customHeight="1">
      <c r="D442" s="18"/>
    </row>
    <row r="443" ht="15.75" customHeight="1">
      <c r="D443" s="18"/>
    </row>
    <row r="444" ht="15.75" customHeight="1">
      <c r="D444" s="18"/>
    </row>
    <row r="445" ht="15.75" customHeight="1">
      <c r="D445" s="18"/>
    </row>
    <row r="446" ht="15.75" customHeight="1">
      <c r="D446" s="18"/>
    </row>
    <row r="447" ht="15.75" customHeight="1">
      <c r="D447" s="18"/>
    </row>
    <row r="448" ht="15.75" customHeight="1">
      <c r="D448" s="18"/>
    </row>
    <row r="449" ht="15.75" customHeight="1">
      <c r="D449" s="18"/>
    </row>
    <row r="450" ht="15.75" customHeight="1">
      <c r="D450" s="18"/>
    </row>
    <row r="451" ht="15.75" customHeight="1">
      <c r="D451" s="18"/>
    </row>
    <row r="452" ht="15.75" customHeight="1">
      <c r="D452" s="18"/>
    </row>
    <row r="453" ht="15.75" customHeight="1">
      <c r="D453" s="18"/>
    </row>
    <row r="454" ht="15.75" customHeight="1">
      <c r="D454" s="18"/>
    </row>
    <row r="455" ht="15.75" customHeight="1">
      <c r="D455" s="18"/>
    </row>
    <row r="456" ht="15.75" customHeight="1">
      <c r="D456" s="18"/>
    </row>
    <row r="457" ht="15.75" customHeight="1">
      <c r="D457" s="18"/>
    </row>
    <row r="458" ht="15.75" customHeight="1">
      <c r="D458" s="18"/>
    </row>
    <row r="459" ht="15.75" customHeight="1">
      <c r="D459" s="18"/>
    </row>
    <row r="460" ht="15.75" customHeight="1">
      <c r="D460" s="18"/>
    </row>
    <row r="461" ht="15.75" customHeight="1">
      <c r="D461" s="18"/>
    </row>
    <row r="462" ht="15.75" customHeight="1">
      <c r="D462" s="18"/>
    </row>
    <row r="463" ht="15.75" customHeight="1">
      <c r="D463" s="18"/>
    </row>
    <row r="464" ht="15.75" customHeight="1">
      <c r="D464" s="18"/>
    </row>
    <row r="465" ht="15.75" customHeight="1">
      <c r="D465" s="18"/>
    </row>
    <row r="466" ht="15.75" customHeight="1">
      <c r="D466" s="18"/>
    </row>
    <row r="467" ht="15.75" customHeight="1">
      <c r="D467" s="18"/>
    </row>
    <row r="468" ht="15.75" customHeight="1">
      <c r="D468" s="18"/>
    </row>
    <row r="469" ht="15.75" customHeight="1">
      <c r="D469" s="18"/>
    </row>
    <row r="470" ht="15.75" customHeight="1">
      <c r="D470" s="18"/>
    </row>
    <row r="471" ht="15.75" customHeight="1">
      <c r="D471" s="18"/>
    </row>
    <row r="472" ht="15.75" customHeight="1">
      <c r="D472" s="18"/>
    </row>
    <row r="473" ht="15.75" customHeight="1">
      <c r="D473" s="18"/>
    </row>
    <row r="474" ht="15.75" customHeight="1">
      <c r="D474" s="18"/>
    </row>
    <row r="475" ht="15.75" customHeight="1">
      <c r="D475" s="18"/>
    </row>
    <row r="476" ht="15.75" customHeight="1">
      <c r="D476" s="18"/>
    </row>
    <row r="477" ht="15.75" customHeight="1">
      <c r="D477" s="18"/>
    </row>
    <row r="478" ht="15.75" customHeight="1">
      <c r="D478" s="18"/>
    </row>
    <row r="479" ht="15.75" customHeight="1">
      <c r="D479" s="18"/>
    </row>
    <row r="480" ht="15.75" customHeight="1">
      <c r="D480" s="18"/>
    </row>
    <row r="481" ht="15.75" customHeight="1">
      <c r="D481" s="18"/>
    </row>
    <row r="482" ht="15.75" customHeight="1">
      <c r="D482" s="18"/>
    </row>
    <row r="483" ht="15.75" customHeight="1">
      <c r="D483" s="18"/>
    </row>
    <row r="484" ht="15.75" customHeight="1">
      <c r="D484" s="18"/>
    </row>
    <row r="485" ht="15.75" customHeight="1">
      <c r="D485" s="18"/>
    </row>
    <row r="486" ht="15.75" customHeight="1">
      <c r="D486" s="18"/>
    </row>
    <row r="487" ht="15.75" customHeight="1">
      <c r="D487" s="18"/>
    </row>
    <row r="488" ht="15.75" customHeight="1">
      <c r="D488" s="18"/>
    </row>
    <row r="489" ht="15.75" customHeight="1">
      <c r="D489" s="18"/>
    </row>
    <row r="490" ht="15.75" customHeight="1">
      <c r="D490" s="18"/>
    </row>
    <row r="491" ht="15.75" customHeight="1">
      <c r="D491" s="18"/>
    </row>
    <row r="492" ht="15.75" customHeight="1">
      <c r="D492" s="18"/>
    </row>
    <row r="493" ht="15.75" customHeight="1">
      <c r="D493" s="18"/>
    </row>
    <row r="494" ht="15.75" customHeight="1">
      <c r="D494" s="18"/>
    </row>
    <row r="495" ht="15.75" customHeight="1">
      <c r="D495" s="18"/>
    </row>
    <row r="496" ht="15.75" customHeight="1">
      <c r="D496" s="18"/>
    </row>
    <row r="497" ht="15.75" customHeight="1">
      <c r="D497" s="18"/>
    </row>
    <row r="498" ht="15.75" customHeight="1">
      <c r="D498" s="18"/>
    </row>
    <row r="499" ht="15.75" customHeight="1">
      <c r="D499" s="18"/>
    </row>
    <row r="500" ht="15.75" customHeight="1">
      <c r="D500" s="18"/>
    </row>
    <row r="501" ht="15.75" customHeight="1">
      <c r="D501" s="18"/>
    </row>
    <row r="502" ht="15.75" customHeight="1">
      <c r="D502" s="18"/>
    </row>
    <row r="503" ht="15.75" customHeight="1">
      <c r="D503" s="18"/>
    </row>
    <row r="504" ht="15.75" customHeight="1">
      <c r="D504" s="18"/>
    </row>
    <row r="505" ht="15.75" customHeight="1">
      <c r="D505" s="18"/>
    </row>
    <row r="506" ht="15.75" customHeight="1">
      <c r="D506" s="18"/>
    </row>
    <row r="507" ht="15.75" customHeight="1">
      <c r="D507" s="18"/>
    </row>
    <row r="508" ht="15.75" customHeight="1">
      <c r="D508" s="18"/>
    </row>
    <row r="509" ht="15.75" customHeight="1">
      <c r="D509" s="18"/>
    </row>
    <row r="510" ht="15.75" customHeight="1">
      <c r="D510" s="18"/>
    </row>
    <row r="511" ht="15.75" customHeight="1">
      <c r="D511" s="18"/>
    </row>
    <row r="512" ht="15.75" customHeight="1">
      <c r="D512" s="18"/>
    </row>
    <row r="513" ht="15.75" customHeight="1">
      <c r="D513" s="18"/>
    </row>
    <row r="514" ht="15.75" customHeight="1">
      <c r="D514" s="18"/>
    </row>
    <row r="515" ht="15.75" customHeight="1">
      <c r="D515" s="18"/>
    </row>
    <row r="516" ht="15.75" customHeight="1">
      <c r="D516" s="18"/>
    </row>
    <row r="517" ht="15.75" customHeight="1">
      <c r="D517" s="18"/>
    </row>
    <row r="518" ht="15.75" customHeight="1">
      <c r="D518" s="18"/>
    </row>
    <row r="519" ht="15.75" customHeight="1">
      <c r="D519" s="18"/>
    </row>
    <row r="520" ht="15.75" customHeight="1">
      <c r="D520" s="18"/>
    </row>
    <row r="521" ht="15.75" customHeight="1">
      <c r="D521" s="18"/>
    </row>
    <row r="522" ht="15.75" customHeight="1">
      <c r="D522" s="18"/>
    </row>
    <row r="523" ht="15.75" customHeight="1">
      <c r="D523" s="18"/>
    </row>
    <row r="524" ht="15.75" customHeight="1">
      <c r="D524" s="18"/>
    </row>
    <row r="525" ht="15.75" customHeight="1">
      <c r="D525" s="18"/>
    </row>
    <row r="526" ht="15.75" customHeight="1">
      <c r="D526" s="18"/>
    </row>
    <row r="527" ht="15.75" customHeight="1">
      <c r="D527" s="18"/>
    </row>
    <row r="528" ht="15.75" customHeight="1">
      <c r="D528" s="18"/>
    </row>
    <row r="529" ht="15.75" customHeight="1">
      <c r="D529" s="18"/>
    </row>
    <row r="530" ht="15.75" customHeight="1">
      <c r="D530" s="18"/>
    </row>
    <row r="531" ht="15.75" customHeight="1">
      <c r="D531" s="18"/>
    </row>
    <row r="532" ht="15.75" customHeight="1">
      <c r="D532" s="18"/>
    </row>
    <row r="533" ht="15.75" customHeight="1">
      <c r="D533" s="18"/>
    </row>
    <row r="534" ht="15.75" customHeight="1">
      <c r="D534" s="18"/>
    </row>
    <row r="535" ht="15.75" customHeight="1">
      <c r="D535" s="18"/>
    </row>
    <row r="536" ht="15.75" customHeight="1">
      <c r="D536" s="18"/>
    </row>
    <row r="537" ht="15.75" customHeight="1">
      <c r="D537" s="18"/>
    </row>
    <row r="538" ht="15.75" customHeight="1">
      <c r="D538" s="18"/>
    </row>
    <row r="539" ht="15.75" customHeight="1">
      <c r="D539" s="18"/>
    </row>
    <row r="540" ht="15.75" customHeight="1">
      <c r="D540" s="18"/>
    </row>
    <row r="541" ht="15.75" customHeight="1">
      <c r="D541" s="18"/>
    </row>
    <row r="542" ht="15.75" customHeight="1">
      <c r="D542" s="18"/>
    </row>
    <row r="543" ht="15.75" customHeight="1">
      <c r="D543" s="18"/>
    </row>
    <row r="544" ht="15.75" customHeight="1">
      <c r="D544" s="18"/>
    </row>
    <row r="545" ht="15.75" customHeight="1">
      <c r="D545" s="18"/>
    </row>
    <row r="546" ht="15.75" customHeight="1">
      <c r="D546" s="18"/>
    </row>
    <row r="547" ht="15.75" customHeight="1">
      <c r="D547" s="18"/>
    </row>
    <row r="548" ht="15.75" customHeight="1">
      <c r="D548" s="18"/>
    </row>
    <row r="549" ht="15.75" customHeight="1">
      <c r="D549" s="18"/>
    </row>
    <row r="550" ht="15.75" customHeight="1">
      <c r="D550" s="18"/>
    </row>
    <row r="551" ht="15.75" customHeight="1">
      <c r="D551" s="18"/>
    </row>
    <row r="552" ht="15.75" customHeight="1">
      <c r="D552" s="18"/>
    </row>
    <row r="553" ht="15.75" customHeight="1">
      <c r="D553" s="18"/>
    </row>
    <row r="554" ht="15.75" customHeight="1">
      <c r="D554" s="18"/>
    </row>
    <row r="555" ht="15.75" customHeight="1">
      <c r="D555" s="18"/>
    </row>
    <row r="556" ht="15.75" customHeight="1">
      <c r="D556" s="18"/>
    </row>
    <row r="557" ht="15.75" customHeight="1">
      <c r="D557" s="18"/>
    </row>
    <row r="558" ht="15.75" customHeight="1">
      <c r="D558" s="18"/>
    </row>
    <row r="559" ht="15.75" customHeight="1">
      <c r="D559" s="18"/>
    </row>
    <row r="560" ht="15.75" customHeight="1">
      <c r="D560" s="18"/>
    </row>
    <row r="561" ht="15.75" customHeight="1">
      <c r="D561" s="18"/>
    </row>
    <row r="562" ht="15.75" customHeight="1">
      <c r="D562" s="18"/>
    </row>
    <row r="563" ht="15.75" customHeight="1">
      <c r="D563" s="18"/>
    </row>
    <row r="564" ht="15.75" customHeight="1">
      <c r="D564" s="18"/>
    </row>
    <row r="565" ht="15.75" customHeight="1">
      <c r="D565" s="18"/>
    </row>
    <row r="566" ht="15.75" customHeight="1">
      <c r="D566" s="18"/>
    </row>
    <row r="567" ht="15.75" customHeight="1">
      <c r="D567" s="18"/>
    </row>
    <row r="568" ht="15.75" customHeight="1">
      <c r="D568" s="18"/>
    </row>
    <row r="569" ht="15.75" customHeight="1">
      <c r="D569" s="18"/>
    </row>
    <row r="570" ht="15.75" customHeight="1">
      <c r="D570" s="18"/>
    </row>
    <row r="571" ht="15.75" customHeight="1">
      <c r="D571" s="18"/>
    </row>
    <row r="572" ht="15.75" customHeight="1">
      <c r="D572" s="18"/>
    </row>
    <row r="573" ht="15.75" customHeight="1">
      <c r="D573" s="18"/>
    </row>
    <row r="574" ht="15.75" customHeight="1">
      <c r="D574" s="18"/>
    </row>
    <row r="575" ht="15.75" customHeight="1">
      <c r="D575" s="18"/>
    </row>
    <row r="576" ht="15.75" customHeight="1">
      <c r="D576" s="18"/>
    </row>
    <row r="577" ht="15.75" customHeight="1">
      <c r="D577" s="18"/>
    </row>
    <row r="578" ht="15.75" customHeight="1">
      <c r="D578" s="18"/>
    </row>
    <row r="579" ht="15.75" customHeight="1">
      <c r="D579" s="18"/>
    </row>
    <row r="580" ht="15.75" customHeight="1">
      <c r="D580" s="18"/>
    </row>
    <row r="581" ht="15.75" customHeight="1">
      <c r="D581" s="18"/>
    </row>
    <row r="582" ht="15.75" customHeight="1">
      <c r="D582" s="18"/>
    </row>
    <row r="583" ht="15.75" customHeight="1">
      <c r="D583" s="18"/>
    </row>
    <row r="584" ht="15.75" customHeight="1">
      <c r="D584" s="18"/>
    </row>
    <row r="585" ht="15.75" customHeight="1">
      <c r="D585" s="18"/>
    </row>
    <row r="586" ht="15.75" customHeight="1">
      <c r="D586" s="18"/>
    </row>
    <row r="587" ht="15.75" customHeight="1">
      <c r="D587" s="18"/>
    </row>
    <row r="588" ht="15.75" customHeight="1">
      <c r="D588" s="18"/>
    </row>
    <row r="589" ht="15.75" customHeight="1">
      <c r="D589" s="18"/>
    </row>
    <row r="590" ht="15.75" customHeight="1">
      <c r="D590" s="18"/>
    </row>
    <row r="591" ht="15.75" customHeight="1">
      <c r="D591" s="18"/>
    </row>
    <row r="592" ht="15.75" customHeight="1">
      <c r="D592" s="18"/>
    </row>
    <row r="593" ht="15.75" customHeight="1">
      <c r="D593" s="18"/>
    </row>
    <row r="594" ht="15.75" customHeight="1">
      <c r="D594" s="18"/>
    </row>
    <row r="595" ht="15.75" customHeight="1">
      <c r="D595" s="18"/>
    </row>
    <row r="596" ht="15.75" customHeight="1">
      <c r="D596" s="18"/>
    </row>
    <row r="597" ht="15.75" customHeight="1">
      <c r="D597" s="18"/>
    </row>
    <row r="598" ht="15.75" customHeight="1">
      <c r="D598" s="18"/>
    </row>
    <row r="599" ht="15.75" customHeight="1">
      <c r="D599" s="18"/>
    </row>
    <row r="600" ht="15.75" customHeight="1">
      <c r="D600" s="18"/>
    </row>
    <row r="601" ht="15.75" customHeight="1">
      <c r="D601" s="18"/>
    </row>
    <row r="602" ht="15.75" customHeight="1">
      <c r="D602" s="18"/>
    </row>
    <row r="603" ht="15.75" customHeight="1">
      <c r="D603" s="18"/>
    </row>
    <row r="604" ht="15.75" customHeight="1">
      <c r="D604" s="18"/>
    </row>
    <row r="605" ht="15.75" customHeight="1">
      <c r="D605" s="18"/>
    </row>
    <row r="606" ht="15.75" customHeight="1">
      <c r="D606" s="18"/>
    </row>
    <row r="607" ht="15.75" customHeight="1">
      <c r="D607" s="18"/>
    </row>
    <row r="608" ht="15.75" customHeight="1">
      <c r="D608" s="18"/>
    </row>
    <row r="609" ht="15.75" customHeight="1">
      <c r="D609" s="18"/>
    </row>
    <row r="610" ht="15.75" customHeight="1">
      <c r="D610" s="18"/>
    </row>
    <row r="611" ht="15.75" customHeight="1">
      <c r="D611" s="18"/>
    </row>
    <row r="612" ht="15.75" customHeight="1">
      <c r="D612" s="18"/>
    </row>
    <row r="613" ht="15.75" customHeight="1">
      <c r="D613" s="18"/>
    </row>
    <row r="614" ht="15.75" customHeight="1">
      <c r="D614" s="18"/>
    </row>
    <row r="615" ht="15.75" customHeight="1">
      <c r="D615" s="18"/>
    </row>
    <row r="616" ht="15.75" customHeight="1">
      <c r="D616" s="18"/>
    </row>
    <row r="617" ht="15.75" customHeight="1">
      <c r="D617" s="18"/>
    </row>
    <row r="618" ht="15.75" customHeight="1">
      <c r="D618" s="18"/>
    </row>
    <row r="619" ht="15.75" customHeight="1">
      <c r="D619" s="18"/>
    </row>
    <row r="620" ht="15.75" customHeight="1">
      <c r="D620" s="18"/>
    </row>
    <row r="621" ht="15.75" customHeight="1">
      <c r="D621" s="18"/>
    </row>
    <row r="622" ht="15.75" customHeight="1">
      <c r="D622" s="18"/>
    </row>
    <row r="623" ht="15.75" customHeight="1">
      <c r="D623" s="18"/>
    </row>
    <row r="624" ht="15.75" customHeight="1">
      <c r="D624" s="18"/>
    </row>
    <row r="625" ht="15.75" customHeight="1">
      <c r="D625" s="18"/>
    </row>
    <row r="626" ht="15.75" customHeight="1">
      <c r="D626" s="18"/>
    </row>
    <row r="627" ht="15.75" customHeight="1">
      <c r="D627" s="18"/>
    </row>
    <row r="628" ht="15.75" customHeight="1">
      <c r="D628" s="18"/>
    </row>
    <row r="629" ht="15.75" customHeight="1">
      <c r="D629" s="18"/>
    </row>
    <row r="630" ht="15.75" customHeight="1">
      <c r="D630" s="18"/>
    </row>
    <row r="631" ht="15.75" customHeight="1">
      <c r="D631" s="18"/>
    </row>
    <row r="632" ht="15.75" customHeight="1">
      <c r="D632" s="18"/>
    </row>
    <row r="633" ht="15.75" customHeight="1">
      <c r="D633" s="18"/>
    </row>
    <row r="634" ht="15.75" customHeight="1">
      <c r="D634" s="18"/>
    </row>
    <row r="635" ht="15.75" customHeight="1">
      <c r="D635" s="18"/>
    </row>
    <row r="636" ht="15.75" customHeight="1">
      <c r="D636" s="18"/>
    </row>
    <row r="637" ht="15.75" customHeight="1">
      <c r="D637" s="18"/>
    </row>
    <row r="638" ht="15.75" customHeight="1">
      <c r="D638" s="18"/>
    </row>
    <row r="639" ht="15.75" customHeight="1">
      <c r="D639" s="18"/>
    </row>
    <row r="640" ht="15.75" customHeight="1">
      <c r="D640" s="18"/>
    </row>
    <row r="641" ht="15.75" customHeight="1">
      <c r="D641" s="18"/>
    </row>
    <row r="642" ht="15.75" customHeight="1">
      <c r="D642" s="18"/>
    </row>
    <row r="643" ht="15.75" customHeight="1">
      <c r="D643" s="18"/>
    </row>
    <row r="644" ht="15.75" customHeight="1">
      <c r="D644" s="18"/>
    </row>
    <row r="645" ht="15.75" customHeight="1">
      <c r="D645" s="18"/>
    </row>
    <row r="646" ht="15.75" customHeight="1">
      <c r="D646" s="18"/>
    </row>
    <row r="647" ht="15.75" customHeight="1">
      <c r="D647" s="18"/>
    </row>
    <row r="648" ht="15.75" customHeight="1">
      <c r="D648" s="18"/>
    </row>
    <row r="649" ht="15.75" customHeight="1">
      <c r="D649" s="18"/>
    </row>
    <row r="650" ht="15.75" customHeight="1">
      <c r="D650" s="18"/>
    </row>
    <row r="651" ht="15.75" customHeight="1">
      <c r="D651" s="18"/>
    </row>
    <row r="652" ht="15.75" customHeight="1">
      <c r="D652" s="18"/>
    </row>
    <row r="653" ht="15.75" customHeight="1">
      <c r="D653" s="18"/>
    </row>
    <row r="654" ht="15.75" customHeight="1">
      <c r="D654" s="18"/>
    </row>
    <row r="655" ht="15.75" customHeight="1">
      <c r="D655" s="18"/>
    </row>
    <row r="656" ht="15.75" customHeight="1">
      <c r="D656" s="18"/>
    </row>
    <row r="657" ht="15.75" customHeight="1">
      <c r="D657" s="18"/>
    </row>
    <row r="658" ht="15.75" customHeight="1">
      <c r="D658" s="18"/>
    </row>
    <row r="659" ht="15.75" customHeight="1">
      <c r="D659" s="18"/>
    </row>
    <row r="660" ht="15.75" customHeight="1">
      <c r="D660" s="18"/>
    </row>
    <row r="661" ht="15.75" customHeight="1">
      <c r="D661" s="18"/>
    </row>
    <row r="662" ht="15.75" customHeight="1">
      <c r="D662" s="18"/>
    </row>
    <row r="663" ht="15.75" customHeight="1">
      <c r="D663" s="18"/>
    </row>
    <row r="664" ht="15.75" customHeight="1">
      <c r="D664" s="18"/>
    </row>
    <row r="665" ht="15.75" customHeight="1">
      <c r="D665" s="18"/>
    </row>
    <row r="666" ht="15.75" customHeight="1">
      <c r="D666" s="18"/>
    </row>
    <row r="667" ht="15.75" customHeight="1">
      <c r="D667" s="18"/>
    </row>
    <row r="668" ht="15.75" customHeight="1">
      <c r="D668" s="18"/>
    </row>
    <row r="669" ht="15.75" customHeight="1">
      <c r="D669" s="18"/>
    </row>
    <row r="670" ht="15.75" customHeight="1">
      <c r="D670" s="18"/>
    </row>
    <row r="671" ht="15.75" customHeight="1">
      <c r="D671" s="18"/>
    </row>
    <row r="672" ht="15.75" customHeight="1">
      <c r="D672" s="18"/>
    </row>
    <row r="673" ht="15.75" customHeight="1">
      <c r="D673" s="18"/>
    </row>
    <row r="674" ht="15.75" customHeight="1">
      <c r="D674" s="18"/>
    </row>
    <row r="675" ht="15.75" customHeight="1">
      <c r="D675" s="18"/>
    </row>
    <row r="676" ht="15.75" customHeight="1">
      <c r="D676" s="18"/>
    </row>
    <row r="677" ht="15.75" customHeight="1">
      <c r="D677" s="18"/>
    </row>
    <row r="678" ht="15.75" customHeight="1">
      <c r="D678" s="18"/>
    </row>
    <row r="679" ht="15.75" customHeight="1">
      <c r="D679" s="18"/>
    </row>
    <row r="680" ht="15.75" customHeight="1">
      <c r="D680" s="18"/>
    </row>
    <row r="681" ht="15.75" customHeight="1">
      <c r="D681" s="18"/>
    </row>
    <row r="682" ht="15.75" customHeight="1">
      <c r="D682" s="18"/>
    </row>
    <row r="683" ht="15.75" customHeight="1">
      <c r="D683" s="18"/>
    </row>
    <row r="684" ht="15.75" customHeight="1">
      <c r="D684" s="18"/>
    </row>
    <row r="685" ht="15.75" customHeight="1">
      <c r="D685" s="18"/>
    </row>
    <row r="686" ht="15.75" customHeight="1">
      <c r="D686" s="18"/>
    </row>
    <row r="687" ht="15.75" customHeight="1">
      <c r="D687" s="18"/>
    </row>
    <row r="688" ht="15.75" customHeight="1">
      <c r="D688" s="18"/>
    </row>
    <row r="689" ht="15.75" customHeight="1">
      <c r="D689" s="18"/>
    </row>
    <row r="690" ht="15.75" customHeight="1">
      <c r="D690" s="18"/>
    </row>
    <row r="691" ht="15.75" customHeight="1">
      <c r="D691" s="18"/>
    </row>
    <row r="692" ht="15.75" customHeight="1">
      <c r="D692" s="18"/>
    </row>
    <row r="693" ht="15.75" customHeight="1">
      <c r="D693" s="18"/>
    </row>
    <row r="694" ht="15.75" customHeight="1">
      <c r="D694" s="18"/>
    </row>
    <row r="695" ht="15.75" customHeight="1">
      <c r="D695" s="18"/>
    </row>
    <row r="696" ht="15.75" customHeight="1">
      <c r="D696" s="18"/>
    </row>
    <row r="697" ht="15.75" customHeight="1">
      <c r="D697" s="18"/>
    </row>
    <row r="698" ht="15.75" customHeight="1">
      <c r="D698" s="18"/>
    </row>
    <row r="699" ht="15.75" customHeight="1">
      <c r="D699" s="18"/>
    </row>
    <row r="700" ht="15.75" customHeight="1">
      <c r="D700" s="18"/>
    </row>
    <row r="701" ht="15.75" customHeight="1">
      <c r="D701" s="18"/>
    </row>
    <row r="702" ht="15.75" customHeight="1">
      <c r="D702" s="18"/>
    </row>
    <row r="703" ht="15.75" customHeight="1">
      <c r="D703" s="18"/>
    </row>
    <row r="704" ht="15.75" customHeight="1">
      <c r="D704" s="18"/>
    </row>
    <row r="705" ht="15.75" customHeight="1">
      <c r="D705" s="18"/>
    </row>
    <row r="706" ht="15.75" customHeight="1">
      <c r="D706" s="18"/>
    </row>
    <row r="707" ht="15.75" customHeight="1">
      <c r="D707" s="18"/>
    </row>
    <row r="708" ht="15.75" customHeight="1">
      <c r="D708" s="18"/>
    </row>
    <row r="709" ht="15.75" customHeight="1">
      <c r="D709" s="18"/>
    </row>
    <row r="710" ht="15.75" customHeight="1">
      <c r="D710" s="18"/>
    </row>
    <row r="711" ht="15.75" customHeight="1">
      <c r="D711" s="18"/>
    </row>
    <row r="712" ht="15.75" customHeight="1">
      <c r="D712" s="18"/>
    </row>
    <row r="713" ht="15.75" customHeight="1">
      <c r="D713" s="18"/>
    </row>
    <row r="714" ht="15.75" customHeight="1">
      <c r="D714" s="18"/>
    </row>
    <row r="715" ht="15.75" customHeight="1">
      <c r="D715" s="18"/>
    </row>
    <row r="716" ht="15.75" customHeight="1">
      <c r="D716" s="18"/>
    </row>
    <row r="717" ht="15.75" customHeight="1">
      <c r="D717" s="18"/>
    </row>
    <row r="718" ht="15.75" customHeight="1">
      <c r="D718" s="18"/>
    </row>
    <row r="719" ht="15.75" customHeight="1">
      <c r="D719" s="18"/>
    </row>
    <row r="720" ht="15.75" customHeight="1">
      <c r="D720" s="18"/>
    </row>
    <row r="721" ht="15.75" customHeight="1">
      <c r="D721" s="18"/>
    </row>
    <row r="722" ht="15.75" customHeight="1">
      <c r="D722" s="18"/>
    </row>
    <row r="723" ht="15.75" customHeight="1">
      <c r="D723" s="18"/>
    </row>
    <row r="724" ht="15.75" customHeight="1">
      <c r="D724" s="18"/>
    </row>
    <row r="725" ht="15.75" customHeight="1">
      <c r="D725" s="18"/>
    </row>
    <row r="726" ht="15.75" customHeight="1">
      <c r="D726" s="18"/>
    </row>
    <row r="727" ht="15.75" customHeight="1">
      <c r="D727" s="18"/>
    </row>
    <row r="728" ht="15.75" customHeight="1">
      <c r="D728" s="18"/>
    </row>
    <row r="729" ht="15.75" customHeight="1">
      <c r="D729" s="18"/>
    </row>
    <row r="730" ht="15.75" customHeight="1">
      <c r="D730" s="18"/>
    </row>
    <row r="731" ht="15.75" customHeight="1">
      <c r="D731" s="18"/>
    </row>
    <row r="732" ht="15.75" customHeight="1">
      <c r="D732" s="18"/>
    </row>
    <row r="733" ht="15.75" customHeight="1">
      <c r="D733" s="18"/>
    </row>
    <row r="734" ht="15.75" customHeight="1">
      <c r="D734" s="18"/>
    </row>
    <row r="735" ht="15.75" customHeight="1">
      <c r="D735" s="18"/>
    </row>
    <row r="736" ht="15.75" customHeight="1">
      <c r="D736" s="18"/>
    </row>
    <row r="737" ht="15.75" customHeight="1">
      <c r="D737" s="18"/>
    </row>
    <row r="738" ht="15.75" customHeight="1">
      <c r="D738" s="18"/>
    </row>
    <row r="739" ht="15.75" customHeight="1">
      <c r="D739" s="18"/>
    </row>
    <row r="740" ht="15.75" customHeight="1">
      <c r="D740" s="18"/>
    </row>
    <row r="741" ht="15.75" customHeight="1">
      <c r="D741" s="18"/>
    </row>
    <row r="742" ht="15.75" customHeight="1">
      <c r="D742" s="18"/>
    </row>
    <row r="743" ht="15.75" customHeight="1">
      <c r="D743" s="18"/>
    </row>
    <row r="744" ht="15.75" customHeight="1">
      <c r="D744" s="18"/>
    </row>
    <row r="745" ht="15.75" customHeight="1">
      <c r="D745" s="18"/>
    </row>
    <row r="746" ht="15.75" customHeight="1">
      <c r="D746" s="18"/>
    </row>
    <row r="747" ht="15.75" customHeight="1">
      <c r="D747" s="18"/>
    </row>
    <row r="748" ht="15.75" customHeight="1">
      <c r="D748" s="18"/>
    </row>
    <row r="749" ht="15.75" customHeight="1">
      <c r="D749" s="18"/>
    </row>
    <row r="750" ht="15.75" customHeight="1">
      <c r="D750" s="18"/>
    </row>
    <row r="751" ht="15.75" customHeight="1">
      <c r="D751" s="18"/>
    </row>
    <row r="752" ht="15.75" customHeight="1">
      <c r="D752" s="18"/>
    </row>
    <row r="753" ht="15.75" customHeight="1">
      <c r="D753" s="18"/>
    </row>
    <row r="754" ht="15.75" customHeight="1">
      <c r="D754" s="18"/>
    </row>
    <row r="755" ht="15.75" customHeight="1">
      <c r="D755" s="18"/>
    </row>
    <row r="756" ht="15.75" customHeight="1">
      <c r="D756" s="18"/>
    </row>
    <row r="757" ht="15.75" customHeight="1">
      <c r="D757" s="18"/>
    </row>
    <row r="758" ht="15.75" customHeight="1">
      <c r="D758" s="18"/>
    </row>
    <row r="759" ht="15.75" customHeight="1">
      <c r="D759" s="18"/>
    </row>
    <row r="760" ht="15.75" customHeight="1">
      <c r="D760" s="18"/>
    </row>
    <row r="761" ht="15.75" customHeight="1">
      <c r="D761" s="18"/>
    </row>
    <row r="762" ht="15.75" customHeight="1">
      <c r="D762" s="18"/>
    </row>
    <row r="763" ht="15.75" customHeight="1">
      <c r="D763" s="18"/>
    </row>
    <row r="764" ht="15.75" customHeight="1">
      <c r="D764" s="18"/>
    </row>
    <row r="765" ht="15.75" customHeight="1">
      <c r="D765" s="18"/>
    </row>
    <row r="766" ht="15.75" customHeight="1">
      <c r="D766" s="18"/>
    </row>
    <row r="767" ht="15.75" customHeight="1">
      <c r="D767" s="18"/>
    </row>
    <row r="768" ht="15.75" customHeight="1">
      <c r="D768" s="18"/>
    </row>
    <row r="769" ht="15.75" customHeight="1">
      <c r="D769" s="18"/>
    </row>
    <row r="770" ht="15.75" customHeight="1">
      <c r="D770" s="18"/>
    </row>
    <row r="771" ht="15.75" customHeight="1">
      <c r="D771" s="18"/>
    </row>
    <row r="772" ht="15.75" customHeight="1">
      <c r="D772" s="18"/>
    </row>
    <row r="773" ht="15.75" customHeight="1">
      <c r="D773" s="18"/>
    </row>
    <row r="774" ht="15.75" customHeight="1">
      <c r="D774" s="18"/>
    </row>
    <row r="775" ht="15.75" customHeight="1">
      <c r="D775" s="18"/>
    </row>
    <row r="776" ht="15.75" customHeight="1">
      <c r="D776" s="18"/>
    </row>
    <row r="777" ht="15.75" customHeight="1">
      <c r="D777" s="18"/>
    </row>
    <row r="778" ht="15.75" customHeight="1">
      <c r="D778" s="18"/>
    </row>
    <row r="779" ht="15.75" customHeight="1">
      <c r="D779" s="18"/>
    </row>
    <row r="780" ht="15.75" customHeight="1">
      <c r="D780" s="18"/>
    </row>
    <row r="781" ht="15.75" customHeight="1">
      <c r="D781" s="18"/>
    </row>
    <row r="782" ht="15.75" customHeight="1">
      <c r="D782" s="18"/>
    </row>
    <row r="783" ht="15.75" customHeight="1">
      <c r="D783" s="18"/>
    </row>
    <row r="784" ht="15.75" customHeight="1">
      <c r="D784" s="18"/>
    </row>
    <row r="785" ht="15.75" customHeight="1">
      <c r="D785" s="18"/>
    </row>
    <row r="786" ht="15.75" customHeight="1">
      <c r="D786" s="18"/>
    </row>
    <row r="787" ht="15.75" customHeight="1">
      <c r="D787" s="18"/>
    </row>
    <row r="788" ht="15.75" customHeight="1">
      <c r="D788" s="18"/>
    </row>
    <row r="789" ht="15.75" customHeight="1">
      <c r="D789" s="18"/>
    </row>
    <row r="790" ht="15.75" customHeight="1">
      <c r="D790" s="18"/>
    </row>
    <row r="791" ht="15.75" customHeight="1">
      <c r="D791" s="18"/>
    </row>
    <row r="792" ht="15.75" customHeight="1">
      <c r="D792" s="18"/>
    </row>
    <row r="793" ht="15.75" customHeight="1">
      <c r="D793" s="18"/>
    </row>
    <row r="794" ht="15.75" customHeight="1">
      <c r="D794" s="18"/>
    </row>
    <row r="795" ht="15.75" customHeight="1">
      <c r="D795" s="18"/>
    </row>
    <row r="796" ht="15.75" customHeight="1">
      <c r="D796" s="18"/>
    </row>
    <row r="797" ht="15.75" customHeight="1">
      <c r="D797" s="18"/>
    </row>
    <row r="798" ht="15.75" customHeight="1">
      <c r="D798" s="18"/>
    </row>
    <row r="799" ht="15.75" customHeight="1">
      <c r="D799" s="18"/>
    </row>
    <row r="800" ht="15.75" customHeight="1">
      <c r="D800" s="18"/>
    </row>
    <row r="801" ht="15.75" customHeight="1">
      <c r="D801" s="18"/>
    </row>
    <row r="802" ht="15.75" customHeight="1">
      <c r="D802" s="18"/>
    </row>
    <row r="803" ht="15.75" customHeight="1">
      <c r="D803" s="18"/>
    </row>
    <row r="804" ht="15.75" customHeight="1">
      <c r="D804" s="18"/>
    </row>
    <row r="805" ht="15.75" customHeight="1">
      <c r="D805" s="18"/>
    </row>
    <row r="806" ht="15.75" customHeight="1">
      <c r="D806" s="18"/>
    </row>
    <row r="807" ht="15.75" customHeight="1">
      <c r="D807" s="18"/>
    </row>
    <row r="808" ht="15.75" customHeight="1">
      <c r="D808" s="18"/>
    </row>
    <row r="809" ht="15.75" customHeight="1">
      <c r="D809" s="18"/>
    </row>
    <row r="810" ht="15.75" customHeight="1">
      <c r="D810" s="18"/>
    </row>
    <row r="811" ht="15.75" customHeight="1">
      <c r="D811" s="18"/>
    </row>
    <row r="812" ht="15.75" customHeight="1">
      <c r="D812" s="18"/>
    </row>
    <row r="813" ht="15.75" customHeight="1">
      <c r="D813" s="18"/>
    </row>
    <row r="814" ht="15.75" customHeight="1">
      <c r="D814" s="18"/>
    </row>
    <row r="815" ht="15.75" customHeight="1">
      <c r="D815" s="18"/>
    </row>
    <row r="816" ht="15.75" customHeight="1">
      <c r="D816" s="18"/>
    </row>
    <row r="817" ht="15.75" customHeight="1">
      <c r="D817" s="18"/>
    </row>
    <row r="818" ht="15.75" customHeight="1">
      <c r="D818" s="18"/>
    </row>
    <row r="819" ht="15.75" customHeight="1">
      <c r="D819" s="18"/>
    </row>
    <row r="820" ht="15.75" customHeight="1">
      <c r="D820" s="18"/>
    </row>
    <row r="821" ht="15.75" customHeight="1">
      <c r="D821" s="18"/>
    </row>
    <row r="822" ht="15.75" customHeight="1">
      <c r="D822" s="18"/>
    </row>
    <row r="823" ht="15.75" customHeight="1">
      <c r="D823" s="18"/>
    </row>
    <row r="824" ht="15.75" customHeight="1">
      <c r="D824" s="18"/>
    </row>
    <row r="825" ht="15.75" customHeight="1">
      <c r="D825" s="18"/>
    </row>
    <row r="826" ht="15.75" customHeight="1">
      <c r="D826" s="18"/>
    </row>
    <row r="827" ht="15.75" customHeight="1">
      <c r="D827" s="18"/>
    </row>
    <row r="828" ht="15.75" customHeight="1">
      <c r="D828" s="18"/>
    </row>
    <row r="829" ht="15.75" customHeight="1">
      <c r="D829" s="18"/>
    </row>
    <row r="830" ht="15.75" customHeight="1">
      <c r="D830" s="18"/>
    </row>
    <row r="831" ht="15.75" customHeight="1">
      <c r="D831" s="18"/>
    </row>
    <row r="832" ht="15.75" customHeight="1">
      <c r="D832" s="18"/>
    </row>
    <row r="833" ht="15.75" customHeight="1">
      <c r="D833" s="18"/>
    </row>
    <row r="834" ht="15.75" customHeight="1">
      <c r="D834" s="18"/>
    </row>
    <row r="835" ht="15.75" customHeight="1">
      <c r="D835" s="18"/>
    </row>
    <row r="836" ht="15.75" customHeight="1">
      <c r="D836" s="18"/>
    </row>
    <row r="837" ht="15.75" customHeight="1">
      <c r="D837" s="18"/>
    </row>
    <row r="838" ht="15.75" customHeight="1">
      <c r="D838" s="18"/>
    </row>
    <row r="839" ht="15.75" customHeight="1">
      <c r="D839" s="18"/>
    </row>
    <row r="840" ht="15.75" customHeight="1">
      <c r="D840" s="18"/>
    </row>
    <row r="841" ht="15.75" customHeight="1">
      <c r="D841" s="18"/>
    </row>
    <row r="842" ht="15.75" customHeight="1">
      <c r="D842" s="18"/>
    </row>
    <row r="843" ht="15.75" customHeight="1">
      <c r="D843" s="18"/>
    </row>
    <row r="844" ht="15.75" customHeight="1">
      <c r="D844" s="18"/>
    </row>
    <row r="845" ht="15.75" customHeight="1">
      <c r="D845" s="18"/>
    </row>
    <row r="846" ht="15.75" customHeight="1">
      <c r="D846" s="18"/>
    </row>
    <row r="847" ht="15.75" customHeight="1">
      <c r="D847" s="18"/>
    </row>
    <row r="848" ht="15.75" customHeight="1">
      <c r="D848" s="18"/>
    </row>
    <row r="849" ht="15.75" customHeight="1">
      <c r="D849" s="18"/>
    </row>
    <row r="850" ht="15.75" customHeight="1">
      <c r="D850" s="18"/>
    </row>
    <row r="851" ht="15.75" customHeight="1">
      <c r="D851" s="18"/>
    </row>
    <row r="852" ht="15.75" customHeight="1">
      <c r="D852" s="18"/>
    </row>
    <row r="853" ht="15.75" customHeight="1">
      <c r="D853" s="18"/>
    </row>
    <row r="854" ht="15.75" customHeight="1">
      <c r="D854" s="18"/>
    </row>
    <row r="855" ht="15.75" customHeight="1">
      <c r="D855" s="18"/>
    </row>
    <row r="856" ht="15.75" customHeight="1">
      <c r="D856" s="18"/>
    </row>
    <row r="857" ht="15.75" customHeight="1">
      <c r="D857" s="18"/>
    </row>
    <row r="858" ht="15.75" customHeight="1">
      <c r="D858" s="18"/>
    </row>
    <row r="859" ht="15.75" customHeight="1">
      <c r="D859" s="18"/>
    </row>
    <row r="860" ht="15.75" customHeight="1">
      <c r="D860" s="18"/>
    </row>
    <row r="861" ht="15.75" customHeight="1">
      <c r="D861" s="18"/>
    </row>
    <row r="862" ht="15.75" customHeight="1">
      <c r="D862" s="18"/>
    </row>
    <row r="863" ht="15.75" customHeight="1">
      <c r="D863" s="18"/>
    </row>
    <row r="864" ht="15.75" customHeight="1">
      <c r="D864" s="18"/>
    </row>
    <row r="865" ht="15.75" customHeight="1">
      <c r="D865" s="18"/>
    </row>
    <row r="866" ht="15.75" customHeight="1">
      <c r="D866" s="18"/>
    </row>
    <row r="867" ht="15.75" customHeight="1">
      <c r="D867" s="18"/>
    </row>
    <row r="868" ht="15.75" customHeight="1">
      <c r="D868" s="18"/>
    </row>
    <row r="869" ht="15.75" customHeight="1">
      <c r="D869" s="18"/>
    </row>
    <row r="870" ht="15.75" customHeight="1">
      <c r="D870" s="18"/>
    </row>
    <row r="871" ht="15.75" customHeight="1">
      <c r="D871" s="18"/>
    </row>
    <row r="872" ht="15.75" customHeight="1">
      <c r="D872" s="18"/>
    </row>
    <row r="873" ht="15.75" customHeight="1">
      <c r="D873" s="18"/>
    </row>
    <row r="874" ht="15.75" customHeight="1">
      <c r="D874" s="18"/>
    </row>
    <row r="875" ht="15.75" customHeight="1">
      <c r="D875" s="18"/>
    </row>
    <row r="876" ht="15.75" customHeight="1">
      <c r="D876" s="18"/>
    </row>
    <row r="877" ht="15.75" customHeight="1">
      <c r="D877" s="18"/>
    </row>
    <row r="878" ht="15.75" customHeight="1">
      <c r="D878" s="18"/>
    </row>
    <row r="879" ht="15.75" customHeight="1">
      <c r="D879" s="18"/>
    </row>
    <row r="880" ht="15.75" customHeight="1">
      <c r="D880" s="18"/>
    </row>
    <row r="881" ht="15.75" customHeight="1">
      <c r="D881" s="18"/>
    </row>
    <row r="882" ht="15.75" customHeight="1">
      <c r="D882" s="18"/>
    </row>
    <row r="883" ht="15.75" customHeight="1">
      <c r="D883" s="18"/>
    </row>
    <row r="884" ht="15.75" customHeight="1">
      <c r="D884" s="18"/>
    </row>
    <row r="885" ht="15.75" customHeight="1">
      <c r="D885" s="18"/>
    </row>
    <row r="886" ht="15.75" customHeight="1">
      <c r="D886" s="18"/>
    </row>
    <row r="887" ht="15.75" customHeight="1">
      <c r="D887" s="18"/>
    </row>
    <row r="888" ht="15.75" customHeight="1">
      <c r="D888" s="18"/>
    </row>
    <row r="889" ht="15.75" customHeight="1">
      <c r="D889" s="18"/>
    </row>
    <row r="890" ht="15.75" customHeight="1">
      <c r="D890" s="18"/>
    </row>
    <row r="891" ht="15.75" customHeight="1">
      <c r="D891" s="18"/>
    </row>
    <row r="892" ht="15.75" customHeight="1">
      <c r="D892" s="18"/>
    </row>
    <row r="893" ht="15.75" customHeight="1">
      <c r="D893" s="18"/>
    </row>
    <row r="894" ht="15.75" customHeight="1">
      <c r="D894" s="18"/>
    </row>
    <row r="895" ht="15.75" customHeight="1">
      <c r="D895" s="18"/>
    </row>
    <row r="896" ht="15.75" customHeight="1">
      <c r="D896" s="18"/>
    </row>
    <row r="897" ht="15.75" customHeight="1">
      <c r="D897" s="18"/>
    </row>
    <row r="898" ht="15.75" customHeight="1">
      <c r="D898" s="18"/>
    </row>
    <row r="899" ht="15.75" customHeight="1">
      <c r="D899" s="18"/>
    </row>
    <row r="900" ht="15.75" customHeight="1">
      <c r="D900" s="18"/>
    </row>
    <row r="901" ht="15.75" customHeight="1">
      <c r="D901" s="18"/>
    </row>
    <row r="902" ht="15.75" customHeight="1">
      <c r="D902" s="18"/>
    </row>
    <row r="903" ht="15.75" customHeight="1">
      <c r="D903" s="18"/>
    </row>
    <row r="904" ht="15.75" customHeight="1">
      <c r="D904" s="18"/>
    </row>
    <row r="905" ht="15.75" customHeight="1">
      <c r="D905" s="18"/>
    </row>
    <row r="906" ht="15.75" customHeight="1">
      <c r="D906" s="18"/>
    </row>
    <row r="907" ht="15.75" customHeight="1">
      <c r="D907" s="18"/>
    </row>
    <row r="908" ht="15.75" customHeight="1">
      <c r="D908" s="18"/>
    </row>
    <row r="909" ht="15.75" customHeight="1">
      <c r="D909" s="18"/>
    </row>
    <row r="910" ht="15.75" customHeight="1">
      <c r="D910" s="18"/>
    </row>
    <row r="911" ht="15.75" customHeight="1">
      <c r="D911" s="18"/>
    </row>
    <row r="912" ht="15.75" customHeight="1">
      <c r="D912" s="18"/>
    </row>
    <row r="913" ht="15.75" customHeight="1">
      <c r="D913" s="18"/>
    </row>
    <row r="914" ht="15.75" customHeight="1">
      <c r="D914" s="18"/>
    </row>
    <row r="915" ht="15.75" customHeight="1">
      <c r="D915" s="18"/>
    </row>
    <row r="916" ht="15.75" customHeight="1">
      <c r="D916" s="18"/>
    </row>
    <row r="917" ht="15.75" customHeight="1">
      <c r="D917" s="18"/>
    </row>
    <row r="918" ht="15.75" customHeight="1">
      <c r="D918" s="18"/>
    </row>
    <row r="919" ht="15.75" customHeight="1">
      <c r="D919" s="18"/>
    </row>
    <row r="920" ht="15.75" customHeight="1">
      <c r="D920" s="18"/>
    </row>
    <row r="921" ht="15.75" customHeight="1">
      <c r="D921" s="18"/>
    </row>
    <row r="922" ht="15.75" customHeight="1">
      <c r="D922" s="18"/>
    </row>
    <row r="923" ht="15.75" customHeight="1">
      <c r="D923" s="18"/>
    </row>
    <row r="924" ht="15.75" customHeight="1">
      <c r="D924" s="18"/>
    </row>
    <row r="925" ht="15.75" customHeight="1">
      <c r="D925" s="18"/>
    </row>
    <row r="926" ht="15.75" customHeight="1">
      <c r="D926" s="18"/>
    </row>
    <row r="927" ht="15.75" customHeight="1">
      <c r="D927" s="18"/>
    </row>
    <row r="928" ht="15.75" customHeight="1">
      <c r="D928" s="18"/>
    </row>
    <row r="929" ht="15.75" customHeight="1">
      <c r="D929" s="18"/>
    </row>
    <row r="930" ht="15.75" customHeight="1">
      <c r="D930" s="18"/>
    </row>
    <row r="931" ht="15.75" customHeight="1">
      <c r="D931" s="18"/>
    </row>
    <row r="932" ht="15.75" customHeight="1">
      <c r="D932" s="18"/>
    </row>
    <row r="933" ht="15.75" customHeight="1">
      <c r="D933" s="18"/>
    </row>
    <row r="934" ht="15.75" customHeight="1">
      <c r="D934" s="18"/>
    </row>
    <row r="935" ht="15.75" customHeight="1">
      <c r="D935" s="18"/>
    </row>
    <row r="936" ht="15.75" customHeight="1">
      <c r="D936" s="18"/>
    </row>
    <row r="937" ht="15.75" customHeight="1">
      <c r="D937" s="18"/>
    </row>
    <row r="938" ht="15.75" customHeight="1">
      <c r="D938" s="18"/>
    </row>
    <row r="939" ht="15.75" customHeight="1">
      <c r="D939" s="18"/>
    </row>
    <row r="940" ht="15.75" customHeight="1">
      <c r="D940" s="18"/>
    </row>
    <row r="941" ht="15.75" customHeight="1">
      <c r="D941" s="18"/>
    </row>
    <row r="942" ht="15.75" customHeight="1">
      <c r="D942" s="18"/>
    </row>
    <row r="943" ht="15.75" customHeight="1">
      <c r="D943" s="18"/>
    </row>
    <row r="944" ht="15.75" customHeight="1">
      <c r="D944" s="18"/>
    </row>
    <row r="945" ht="15.75" customHeight="1">
      <c r="D945" s="18"/>
    </row>
    <row r="946" ht="15.75" customHeight="1">
      <c r="D946" s="18"/>
    </row>
    <row r="947" ht="15.75" customHeight="1">
      <c r="D947" s="18"/>
    </row>
    <row r="948" ht="15.75" customHeight="1">
      <c r="D948" s="18"/>
    </row>
    <row r="949" ht="15.75" customHeight="1">
      <c r="D949" s="18"/>
    </row>
    <row r="950" ht="15.75" customHeight="1">
      <c r="D950" s="18"/>
    </row>
    <row r="951" ht="15.75" customHeight="1">
      <c r="D951" s="18"/>
    </row>
    <row r="952" ht="15.75" customHeight="1">
      <c r="D952" s="18"/>
    </row>
    <row r="953" ht="15.75" customHeight="1">
      <c r="D953" s="18"/>
    </row>
    <row r="954" ht="15.75" customHeight="1">
      <c r="D954" s="18"/>
    </row>
    <row r="955" ht="15.75" customHeight="1">
      <c r="D955" s="18"/>
    </row>
    <row r="956" ht="15.75" customHeight="1">
      <c r="D956" s="18"/>
    </row>
    <row r="957" ht="15.75" customHeight="1">
      <c r="D957" s="18"/>
    </row>
    <row r="958" ht="15.75" customHeight="1">
      <c r="D958" s="18"/>
    </row>
    <row r="959" ht="15.75" customHeight="1">
      <c r="D959" s="18"/>
    </row>
    <row r="960" ht="15.75" customHeight="1">
      <c r="D960" s="18"/>
    </row>
    <row r="961" ht="15.75" customHeight="1">
      <c r="D961" s="18"/>
    </row>
    <row r="962" ht="15.75" customHeight="1">
      <c r="D962" s="18"/>
    </row>
    <row r="963" ht="15.75" customHeight="1">
      <c r="D963" s="18"/>
    </row>
    <row r="964" ht="15.75" customHeight="1">
      <c r="D964" s="18"/>
    </row>
    <row r="965" ht="15.75" customHeight="1">
      <c r="D965" s="18"/>
    </row>
    <row r="966" ht="15.75" customHeight="1">
      <c r="D966" s="18"/>
    </row>
    <row r="967" ht="15.75" customHeight="1">
      <c r="D967" s="18"/>
    </row>
    <row r="968" ht="15.75" customHeight="1">
      <c r="D968" s="18"/>
    </row>
    <row r="969" ht="15.75" customHeight="1">
      <c r="D969" s="18"/>
    </row>
    <row r="970" ht="15.75" customHeight="1">
      <c r="D970" s="18"/>
    </row>
    <row r="971" ht="15.75" customHeight="1">
      <c r="D971" s="18"/>
    </row>
    <row r="972" ht="15.75" customHeight="1">
      <c r="D972" s="18"/>
    </row>
    <row r="973" ht="15.75" customHeight="1">
      <c r="D973" s="18"/>
    </row>
    <row r="974" ht="15.75" customHeight="1">
      <c r="D974" s="18"/>
    </row>
    <row r="975" ht="15.75" customHeight="1">
      <c r="D975" s="18"/>
    </row>
    <row r="976" ht="15.75" customHeight="1">
      <c r="D976" s="18"/>
    </row>
    <row r="977" ht="15.75" customHeight="1">
      <c r="D977" s="18"/>
    </row>
    <row r="978" ht="15.75" customHeight="1">
      <c r="D978" s="18"/>
    </row>
    <row r="979" ht="15.75" customHeight="1">
      <c r="D979" s="18"/>
    </row>
    <row r="980" ht="15.75" customHeight="1">
      <c r="D980" s="18"/>
    </row>
    <row r="981" ht="15.75" customHeight="1">
      <c r="D981" s="18"/>
    </row>
    <row r="982" ht="15.75" customHeight="1">
      <c r="D982" s="18"/>
    </row>
    <row r="983" ht="15.75" customHeight="1">
      <c r="D983" s="18"/>
    </row>
    <row r="984" ht="15.75" customHeight="1">
      <c r="D984" s="18"/>
    </row>
    <row r="985" ht="15.75" customHeight="1">
      <c r="D985" s="18"/>
    </row>
    <row r="986" ht="15.75" customHeight="1">
      <c r="D986" s="18"/>
    </row>
    <row r="987" ht="15.75" customHeight="1">
      <c r="D987" s="18"/>
    </row>
    <row r="988" ht="15.75" customHeight="1">
      <c r="D988" s="18"/>
    </row>
    <row r="989" ht="15.75" customHeight="1">
      <c r="D989" s="18"/>
    </row>
    <row r="990" ht="15.75" customHeight="1">
      <c r="D990" s="18"/>
    </row>
    <row r="991" ht="15.75" customHeight="1">
      <c r="D991" s="18"/>
    </row>
    <row r="992" ht="15.75" customHeight="1">
      <c r="D992" s="18"/>
    </row>
    <row r="993" ht="15.75" customHeight="1">
      <c r="D993" s="18"/>
    </row>
    <row r="994" ht="15.75" customHeight="1">
      <c r="D994" s="18"/>
    </row>
    <row r="995" ht="15.75" customHeight="1">
      <c r="D995" s="18"/>
    </row>
    <row r="996" ht="15.75" customHeight="1">
      <c r="D996" s="18"/>
    </row>
    <row r="997" ht="15.75" customHeight="1">
      <c r="D997" s="18"/>
    </row>
    <row r="998" ht="15.75" customHeight="1">
      <c r="D998" s="18"/>
    </row>
    <row r="999" ht="15.75" customHeight="1">
      <c r="D999" s="18"/>
    </row>
    <row r="1000" ht="15.75" customHeight="1">
      <c r="D1000" s="18"/>
    </row>
  </sheetData>
  <dataValidations>
    <dataValidation type="custom" allowBlank="1" showDropDown="1" sqref="D2:D11 F2:G11 I2:I11">
      <formula1>AND(ISNUMBER(D2),(NOT(OR(NOT(ISERROR(DATEVALUE(D2))), AND(ISNUMBER(D2), LEFT(CELL("format", D2))="D")))))</formula1>
    </dataValidation>
  </dataValidations>
  <hyperlinks>
    <hyperlink r:id="rId1" ref="H1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7.0"/>
    <col customWidth="1" min="2" max="2" width="26.63"/>
    <col customWidth="1" min="3" max="3" width="31.13"/>
    <col customWidth="1" min="4" max="4" width="18.88"/>
    <col customWidth="1" min="5" max="5" width="16.13"/>
  </cols>
  <sheetData>
    <row r="1">
      <c r="A1" s="19" t="s">
        <v>69</v>
      </c>
      <c r="B1" s="19" t="s">
        <v>70</v>
      </c>
      <c r="C1" s="20" t="s">
        <v>71</v>
      </c>
      <c r="D1" s="21" t="s">
        <v>6</v>
      </c>
      <c r="E1" s="22" t="s">
        <v>3</v>
      </c>
    </row>
    <row r="2" ht="22.5" customHeight="1">
      <c r="A2" s="23" t="s">
        <v>72</v>
      </c>
      <c r="B2" s="24"/>
      <c r="C2" s="24" t="s">
        <v>14</v>
      </c>
      <c r="D2" s="23" t="s">
        <v>14</v>
      </c>
      <c r="E2" s="25"/>
    </row>
    <row r="3" ht="22.5" customHeight="1">
      <c r="A3" s="26" t="s">
        <v>73</v>
      </c>
      <c r="B3" s="23"/>
      <c r="C3" s="23"/>
      <c r="D3" s="23"/>
      <c r="E3" s="25"/>
    </row>
    <row r="4" ht="22.5" customHeight="1">
      <c r="A4" s="27" t="s">
        <v>74</v>
      </c>
      <c r="B4" s="27" t="s">
        <v>75</v>
      </c>
      <c r="C4" s="28">
        <v>38.55</v>
      </c>
      <c r="D4" s="29">
        <v>46.62</v>
      </c>
      <c r="E4" s="25">
        <f t="shared" ref="E4:E16" si="1">(D4-C4)/C4</f>
        <v>0.2093385214</v>
      </c>
    </row>
    <row r="5" ht="22.5" customHeight="1">
      <c r="A5" s="27" t="s">
        <v>76</v>
      </c>
      <c r="B5" s="27" t="s">
        <v>77</v>
      </c>
      <c r="C5" s="28">
        <v>5.06</v>
      </c>
      <c r="D5" s="29">
        <v>5.06</v>
      </c>
      <c r="E5" s="25">
        <f t="shared" si="1"/>
        <v>0</v>
      </c>
    </row>
    <row r="6" ht="22.5" customHeight="1">
      <c r="A6" s="27" t="s">
        <v>78</v>
      </c>
      <c r="B6" s="27" t="s">
        <v>79</v>
      </c>
      <c r="C6" s="28">
        <v>0.88</v>
      </c>
      <c r="D6" s="29">
        <v>0.71</v>
      </c>
      <c r="E6" s="25">
        <f t="shared" si="1"/>
        <v>-0.1931818182</v>
      </c>
    </row>
    <row r="7" ht="22.5" customHeight="1">
      <c r="A7" s="27" t="s">
        <v>80</v>
      </c>
      <c r="B7" s="27" t="s">
        <v>81</v>
      </c>
      <c r="C7" s="28">
        <v>53.0</v>
      </c>
      <c r="D7" s="29">
        <v>50.0</v>
      </c>
      <c r="E7" s="25">
        <f t="shared" si="1"/>
        <v>-0.05660377358</v>
      </c>
    </row>
    <row r="8" ht="22.5" customHeight="1">
      <c r="A8" s="27" t="s">
        <v>82</v>
      </c>
      <c r="B8" s="27" t="s">
        <v>83</v>
      </c>
      <c r="C8" s="28">
        <v>1.2</v>
      </c>
      <c r="D8" s="29">
        <v>1.66</v>
      </c>
      <c r="E8" s="25">
        <f t="shared" si="1"/>
        <v>0.3833333333</v>
      </c>
    </row>
    <row r="9" ht="22.5" customHeight="1">
      <c r="A9" s="27" t="s">
        <v>84</v>
      </c>
      <c r="B9" s="27" t="s">
        <v>85</v>
      </c>
      <c r="C9" s="28">
        <v>7.84</v>
      </c>
      <c r="D9" s="29">
        <v>7.84</v>
      </c>
      <c r="E9" s="25">
        <f t="shared" si="1"/>
        <v>0</v>
      </c>
    </row>
    <row r="10" ht="22.5" customHeight="1">
      <c r="A10" s="27" t="s">
        <v>86</v>
      </c>
      <c r="B10" s="27" t="s">
        <v>87</v>
      </c>
      <c r="C10" s="28">
        <v>38.25</v>
      </c>
      <c r="D10" s="29">
        <v>33.38</v>
      </c>
      <c r="E10" s="25">
        <f t="shared" si="1"/>
        <v>-0.1273202614</v>
      </c>
    </row>
    <row r="11" ht="22.5" customHeight="1">
      <c r="A11" s="27" t="s">
        <v>88</v>
      </c>
      <c r="B11" s="27" t="s">
        <v>89</v>
      </c>
      <c r="C11" s="28">
        <v>5.2</v>
      </c>
      <c r="D11" s="29">
        <v>5.2</v>
      </c>
      <c r="E11" s="25">
        <f t="shared" si="1"/>
        <v>0</v>
      </c>
    </row>
    <row r="12" ht="22.5" customHeight="1">
      <c r="A12" s="27" t="s">
        <v>90</v>
      </c>
      <c r="B12" s="27" t="s">
        <v>91</v>
      </c>
      <c r="C12" s="28">
        <v>2.39</v>
      </c>
      <c r="D12" s="29">
        <v>4.82</v>
      </c>
      <c r="E12" s="25">
        <f t="shared" si="1"/>
        <v>1.016736402</v>
      </c>
    </row>
    <row r="13" ht="22.5" customHeight="1">
      <c r="A13" s="27" t="s">
        <v>92</v>
      </c>
      <c r="B13" s="27" t="s">
        <v>93</v>
      </c>
      <c r="C13" s="28">
        <v>39.05</v>
      </c>
      <c r="D13" s="29">
        <v>71.47</v>
      </c>
      <c r="E13" s="25">
        <f t="shared" si="1"/>
        <v>0.8302176697</v>
      </c>
    </row>
    <row r="14" ht="22.5" customHeight="1">
      <c r="A14" s="27" t="s">
        <v>94</v>
      </c>
      <c r="B14" s="27" t="s">
        <v>95</v>
      </c>
      <c r="C14" s="28">
        <v>0.9</v>
      </c>
      <c r="D14" s="29">
        <v>0.9</v>
      </c>
      <c r="E14" s="25">
        <f t="shared" si="1"/>
        <v>0</v>
      </c>
    </row>
    <row r="15" ht="22.5" customHeight="1">
      <c r="A15" s="27" t="s">
        <v>96</v>
      </c>
      <c r="B15" s="27" t="s">
        <v>97</v>
      </c>
      <c r="C15" s="28">
        <v>10.4</v>
      </c>
      <c r="D15" s="29">
        <v>7.08</v>
      </c>
      <c r="E15" s="25">
        <f t="shared" si="1"/>
        <v>-0.3192307692</v>
      </c>
    </row>
    <row r="16" ht="22.5" customHeight="1">
      <c r="A16" s="27" t="s">
        <v>98</v>
      </c>
      <c r="B16" s="27" t="s">
        <v>99</v>
      </c>
      <c r="C16" s="28">
        <v>1.2</v>
      </c>
      <c r="D16" s="29">
        <v>1.2</v>
      </c>
      <c r="E16" s="25">
        <f t="shared" si="1"/>
        <v>0</v>
      </c>
    </row>
    <row r="17" ht="22.5" customHeight="1">
      <c r="A17" s="23"/>
      <c r="B17" s="23"/>
      <c r="C17" s="23"/>
      <c r="D17" s="23"/>
      <c r="E17" s="25"/>
    </row>
    <row r="18" ht="22.5" customHeight="1">
      <c r="A18" s="30" t="s">
        <v>100</v>
      </c>
      <c r="B18" s="31"/>
      <c r="C18" s="31"/>
      <c r="D18" s="31"/>
      <c r="E18" s="32">
        <f>AVERAGE(E4:E16)</f>
        <v>0.1340991772</v>
      </c>
    </row>
    <row r="19" ht="22.5" customHeight="1">
      <c r="A19" s="23"/>
      <c r="B19" s="23"/>
      <c r="C19" s="23"/>
      <c r="D19" s="23"/>
      <c r="E19" s="25"/>
    </row>
    <row r="20" ht="22.5" customHeight="1">
      <c r="A20" s="26" t="s">
        <v>101</v>
      </c>
      <c r="B20" s="23"/>
      <c r="C20" s="23"/>
      <c r="D20" s="23"/>
      <c r="E20" s="25"/>
    </row>
    <row r="21" ht="22.5" customHeight="1">
      <c r="A21" s="27" t="s">
        <v>102</v>
      </c>
      <c r="B21" s="27" t="s">
        <v>103</v>
      </c>
      <c r="C21" s="28">
        <v>0.07</v>
      </c>
      <c r="D21" s="29">
        <v>0.1</v>
      </c>
      <c r="E21" s="25">
        <f t="shared" ref="E21:E25" si="2">(D21-C21)/C21</f>
        <v>0.4285714286</v>
      </c>
    </row>
    <row r="22" ht="22.5" customHeight="1">
      <c r="A22" s="27" t="s">
        <v>104</v>
      </c>
      <c r="B22" s="27" t="s">
        <v>105</v>
      </c>
      <c r="C22" s="28">
        <v>15.35</v>
      </c>
      <c r="D22" s="29">
        <v>13.35</v>
      </c>
      <c r="E22" s="25">
        <f t="shared" si="2"/>
        <v>-0.1302931596</v>
      </c>
    </row>
    <row r="23" ht="22.5" customHeight="1">
      <c r="A23" s="27" t="s">
        <v>106</v>
      </c>
      <c r="B23" s="27" t="s">
        <v>107</v>
      </c>
      <c r="C23" s="28">
        <v>13.75</v>
      </c>
      <c r="D23" s="29">
        <v>15.94</v>
      </c>
      <c r="E23" s="25">
        <f t="shared" si="2"/>
        <v>0.1592727273</v>
      </c>
    </row>
    <row r="24" ht="22.5" customHeight="1">
      <c r="A24" s="27" t="s">
        <v>108</v>
      </c>
      <c r="B24" s="27" t="s">
        <v>109</v>
      </c>
      <c r="C24" s="28">
        <v>0.1</v>
      </c>
      <c r="D24" s="29">
        <v>0.1</v>
      </c>
      <c r="E24" s="25">
        <f t="shared" si="2"/>
        <v>0</v>
      </c>
    </row>
    <row r="25" ht="22.5" customHeight="1">
      <c r="A25" s="27" t="s">
        <v>110</v>
      </c>
      <c r="B25" s="27" t="s">
        <v>111</v>
      </c>
      <c r="C25" s="28">
        <v>0.55</v>
      </c>
      <c r="D25" s="29">
        <v>0.55</v>
      </c>
      <c r="E25" s="25">
        <f t="shared" si="2"/>
        <v>0</v>
      </c>
    </row>
    <row r="26" ht="22.5" customHeight="1">
      <c r="A26" s="23"/>
      <c r="B26" s="23"/>
      <c r="C26" s="23"/>
      <c r="D26" s="23"/>
      <c r="E26" s="25"/>
    </row>
    <row r="27" ht="22.5" customHeight="1">
      <c r="A27" s="33" t="s">
        <v>100</v>
      </c>
      <c r="B27" s="33"/>
      <c r="C27" s="33"/>
      <c r="D27" s="33"/>
      <c r="E27" s="34">
        <f>Average(E21:E25)</f>
        <v>0.09151019925</v>
      </c>
    </row>
    <row r="28" ht="22.5" customHeight="1">
      <c r="A28" s="23"/>
      <c r="B28" s="23"/>
      <c r="C28" s="23"/>
      <c r="D28" s="23"/>
      <c r="E28" s="25"/>
    </row>
    <row r="29" ht="22.5" customHeight="1">
      <c r="A29" s="7" t="s">
        <v>112</v>
      </c>
      <c r="B29" s="23"/>
      <c r="C29" s="23"/>
      <c r="D29" s="23"/>
      <c r="E29" s="25"/>
    </row>
    <row r="30" ht="22.5" customHeight="1">
      <c r="A30" s="27" t="s">
        <v>113</v>
      </c>
      <c r="B30" s="27" t="s">
        <v>114</v>
      </c>
      <c r="C30" s="28">
        <v>0.74</v>
      </c>
      <c r="D30" s="29">
        <v>0.99</v>
      </c>
      <c r="E30" s="25">
        <f t="shared" ref="E30:E31" si="3">(D30-C30)/C30</f>
        <v>0.3378378378</v>
      </c>
    </row>
    <row r="31" ht="22.5" customHeight="1">
      <c r="A31" s="27" t="s">
        <v>115</v>
      </c>
      <c r="B31" s="27" t="s">
        <v>116</v>
      </c>
      <c r="C31" s="28">
        <v>5.56</v>
      </c>
      <c r="D31" s="29">
        <v>5.03</v>
      </c>
      <c r="E31" s="25">
        <f t="shared" si="3"/>
        <v>-0.09532374101</v>
      </c>
    </row>
    <row r="32" ht="18.0" customHeight="1">
      <c r="A32" s="23"/>
      <c r="B32" s="23"/>
      <c r="C32" s="23"/>
      <c r="D32" s="23"/>
      <c r="E32" s="25"/>
    </row>
    <row r="33" ht="17.25" customHeight="1">
      <c r="A33" s="33" t="s">
        <v>117</v>
      </c>
      <c r="B33" s="33"/>
      <c r="C33" s="33"/>
      <c r="D33" s="33"/>
      <c r="E33" s="34">
        <f>average(E30:E31)</f>
        <v>0.1212570484</v>
      </c>
    </row>
    <row r="34" ht="17.25" customHeight="1">
      <c r="A34" s="23"/>
      <c r="B34" s="23"/>
      <c r="C34" s="23"/>
      <c r="D34" s="23"/>
      <c r="E34" s="25"/>
    </row>
    <row r="35" ht="22.5" customHeight="1">
      <c r="A35" s="35" t="s">
        <v>118</v>
      </c>
      <c r="B35" s="23"/>
      <c r="C35" s="23"/>
      <c r="D35" s="23"/>
      <c r="E35" s="25"/>
    </row>
    <row r="36" ht="22.5" customHeight="1">
      <c r="A36" s="27" t="s">
        <v>119</v>
      </c>
      <c r="B36" s="27" t="s">
        <v>120</v>
      </c>
      <c r="C36" s="28">
        <v>7.48</v>
      </c>
      <c r="D36" s="29">
        <v>12.0</v>
      </c>
      <c r="E36" s="25">
        <f t="shared" ref="E36:E37" si="4">(D36-C36)/C36</f>
        <v>0.6042780749</v>
      </c>
    </row>
    <row r="37" ht="22.5" customHeight="1">
      <c r="A37" s="27" t="s">
        <v>121</v>
      </c>
      <c r="B37" s="27" t="s">
        <v>122</v>
      </c>
      <c r="C37" s="28">
        <v>3.9</v>
      </c>
      <c r="D37" s="29">
        <v>3.37</v>
      </c>
      <c r="E37" s="25">
        <f t="shared" si="4"/>
        <v>-0.1358974359</v>
      </c>
    </row>
    <row r="38" ht="22.5" customHeight="1">
      <c r="A38" s="23"/>
      <c r="B38" s="23"/>
      <c r="C38" s="23"/>
      <c r="D38" s="23"/>
      <c r="E38" s="25"/>
    </row>
    <row r="39" ht="22.5" customHeight="1">
      <c r="A39" s="33" t="s">
        <v>117</v>
      </c>
      <c r="B39" s="33"/>
      <c r="C39" s="33"/>
      <c r="D39" s="33"/>
      <c r="E39" s="34">
        <f>average(E36:E37)</f>
        <v>0.2341903195</v>
      </c>
    </row>
    <row r="40" ht="22.5" customHeight="1">
      <c r="A40" s="23"/>
      <c r="B40" s="23"/>
      <c r="C40" s="23"/>
      <c r="D40" s="23"/>
      <c r="E40" s="25"/>
    </row>
    <row r="41" ht="22.5" customHeight="1">
      <c r="A41" s="35" t="s">
        <v>123</v>
      </c>
      <c r="B41" s="23"/>
      <c r="C41" s="23"/>
      <c r="D41" s="23"/>
      <c r="E41" s="25"/>
    </row>
    <row r="42" ht="22.5" customHeight="1">
      <c r="A42" s="27" t="s">
        <v>124</v>
      </c>
      <c r="B42" s="27" t="s">
        <v>125</v>
      </c>
      <c r="C42" s="28">
        <v>0.14</v>
      </c>
      <c r="D42" s="29">
        <v>0.14</v>
      </c>
      <c r="E42" s="25">
        <f t="shared" ref="E42:E46" si="5">(D42-C42)/C42</f>
        <v>0</v>
      </c>
    </row>
    <row r="43" ht="22.5" customHeight="1">
      <c r="A43" s="27" t="s">
        <v>126</v>
      </c>
      <c r="B43" s="27" t="s">
        <v>127</v>
      </c>
      <c r="C43" s="28">
        <v>0.38</v>
      </c>
      <c r="D43" s="29">
        <v>0.41</v>
      </c>
      <c r="E43" s="25">
        <f t="shared" si="5"/>
        <v>0.07894736842</v>
      </c>
    </row>
    <row r="44" ht="22.5" customHeight="1">
      <c r="A44" s="27" t="s">
        <v>128</v>
      </c>
      <c r="B44" s="27" t="s">
        <v>129</v>
      </c>
      <c r="C44" s="28">
        <v>0.05</v>
      </c>
      <c r="D44" s="29">
        <v>0.05</v>
      </c>
      <c r="E44" s="25">
        <f t="shared" si="5"/>
        <v>0</v>
      </c>
    </row>
    <row r="45" ht="22.5" customHeight="1">
      <c r="A45" s="27" t="s">
        <v>130</v>
      </c>
      <c r="B45" s="27" t="s">
        <v>131</v>
      </c>
      <c r="C45" s="28">
        <v>26.96</v>
      </c>
      <c r="D45" s="29">
        <v>28.46</v>
      </c>
      <c r="E45" s="25">
        <f t="shared" si="5"/>
        <v>0.0556379822</v>
      </c>
    </row>
    <row r="46" ht="22.5" customHeight="1">
      <c r="A46" s="27" t="s">
        <v>132</v>
      </c>
      <c r="B46" s="27" t="s">
        <v>133</v>
      </c>
      <c r="C46" s="28">
        <v>0.1</v>
      </c>
      <c r="D46" s="29">
        <v>0.1</v>
      </c>
      <c r="E46" s="25">
        <f t="shared" si="5"/>
        <v>0</v>
      </c>
    </row>
    <row r="47" ht="22.5" customHeight="1">
      <c r="A47" s="23"/>
      <c r="B47" s="23"/>
      <c r="C47" s="23"/>
      <c r="D47" s="23"/>
      <c r="E47" s="25"/>
    </row>
    <row r="48" ht="22.5" customHeight="1">
      <c r="A48" s="33" t="s">
        <v>117</v>
      </c>
      <c r="B48" s="33"/>
      <c r="C48" s="33"/>
      <c r="D48" s="33"/>
      <c r="E48" s="34">
        <f>average(E42:E46)</f>
        <v>0.02691707012</v>
      </c>
    </row>
    <row r="49" ht="22.5" customHeight="1">
      <c r="A49" s="23"/>
      <c r="B49" s="23"/>
      <c r="C49" s="23"/>
      <c r="D49" s="23"/>
      <c r="E49" s="25"/>
    </row>
    <row r="50" ht="22.5" customHeight="1">
      <c r="A50" s="35" t="s">
        <v>134</v>
      </c>
      <c r="B50" s="23"/>
      <c r="C50" s="23"/>
      <c r="D50" s="23"/>
      <c r="E50" s="25"/>
    </row>
    <row r="51" ht="22.5" customHeight="1">
      <c r="A51" s="27" t="s">
        <v>135</v>
      </c>
      <c r="B51" s="27" t="s">
        <v>136</v>
      </c>
      <c r="C51" s="28">
        <v>0.42</v>
      </c>
      <c r="D51" s="29">
        <v>0.42</v>
      </c>
      <c r="E51" s="25">
        <f t="shared" ref="E51:E55" si="6">(D51-C51)/C51</f>
        <v>0</v>
      </c>
    </row>
    <row r="52" ht="22.5" customHeight="1">
      <c r="A52" s="27" t="s">
        <v>137</v>
      </c>
      <c r="B52" s="27" t="s">
        <v>138</v>
      </c>
      <c r="C52" s="28">
        <v>37.0</v>
      </c>
      <c r="D52" s="29">
        <v>37.0</v>
      </c>
      <c r="E52" s="25">
        <f t="shared" si="6"/>
        <v>0</v>
      </c>
    </row>
    <row r="53" ht="22.5" customHeight="1">
      <c r="A53" s="27" t="s">
        <v>139</v>
      </c>
      <c r="B53" s="27" t="s">
        <v>140</v>
      </c>
      <c r="C53" s="28">
        <v>6.4</v>
      </c>
      <c r="D53" s="29">
        <v>6.55</v>
      </c>
      <c r="E53" s="25">
        <f t="shared" si="6"/>
        <v>0.0234375</v>
      </c>
    </row>
    <row r="54" ht="22.5" customHeight="1">
      <c r="A54" s="27" t="s">
        <v>141</v>
      </c>
      <c r="B54" s="27" t="s">
        <v>142</v>
      </c>
      <c r="C54" s="28">
        <v>8.89</v>
      </c>
      <c r="D54" s="29">
        <v>8.89</v>
      </c>
      <c r="E54" s="25">
        <f t="shared" si="6"/>
        <v>0</v>
      </c>
    </row>
    <row r="55" ht="22.5" customHeight="1">
      <c r="A55" s="27" t="s">
        <v>143</v>
      </c>
      <c r="B55" s="27" t="s">
        <v>144</v>
      </c>
      <c r="C55" s="28">
        <v>11.92</v>
      </c>
      <c r="D55" s="29">
        <v>11.92</v>
      </c>
      <c r="E55" s="25">
        <f t="shared" si="6"/>
        <v>0</v>
      </c>
    </row>
    <row r="56" ht="22.5" customHeight="1">
      <c r="A56" s="36"/>
      <c r="B56" s="37"/>
      <c r="C56" s="37"/>
      <c r="D56" s="37"/>
      <c r="E56" s="38">
        <f t="shared" ref="E56:E57" si="7">average(E50:E54)</f>
        <v>0.005859375</v>
      </c>
    </row>
    <row r="57" ht="22.5" customHeight="1">
      <c r="A57" s="39" t="s">
        <v>117</v>
      </c>
      <c r="B57" s="39"/>
      <c r="C57" s="39"/>
      <c r="D57" s="39"/>
      <c r="E57" s="40">
        <f t="shared" si="7"/>
        <v>0.0046875</v>
      </c>
    </row>
    <row r="58" ht="22.5" customHeight="1">
      <c r="A58" s="23"/>
      <c r="B58" s="23"/>
      <c r="C58" s="23"/>
      <c r="D58" s="23"/>
      <c r="E58" s="25"/>
    </row>
    <row r="59" ht="22.5" customHeight="1">
      <c r="A59" s="35" t="s">
        <v>145</v>
      </c>
      <c r="B59" s="23"/>
      <c r="C59" s="23"/>
      <c r="D59" s="23"/>
      <c r="E59" s="25"/>
    </row>
    <row r="60" ht="22.5" customHeight="1">
      <c r="A60" s="27" t="s">
        <v>146</v>
      </c>
      <c r="B60" s="27" t="s">
        <v>147</v>
      </c>
      <c r="C60" s="28">
        <v>72.6</v>
      </c>
      <c r="D60" s="29">
        <v>100.0</v>
      </c>
      <c r="E60" s="25">
        <f>(D60-C60)/C60</f>
        <v>0.3774104683</v>
      </c>
    </row>
    <row r="61" ht="22.5" customHeight="1">
      <c r="A61" s="41" t="s">
        <v>117</v>
      </c>
      <c r="B61" s="41"/>
      <c r="C61" s="41"/>
      <c r="D61" s="41"/>
      <c r="E61" s="42">
        <f>average(E60)</f>
        <v>0.3774104683</v>
      </c>
    </row>
    <row r="62" ht="22.5" customHeight="1">
      <c r="A62" s="23"/>
      <c r="B62" s="23"/>
      <c r="C62" s="23"/>
      <c r="D62" s="23"/>
      <c r="E62" s="25"/>
    </row>
    <row r="63" ht="22.5" customHeight="1">
      <c r="A63" s="23"/>
      <c r="B63" s="23"/>
      <c r="C63" s="23"/>
      <c r="D63" s="23"/>
      <c r="E63" s="25"/>
    </row>
    <row r="64" ht="22.5" customHeight="1">
      <c r="A64" s="35" t="s">
        <v>148</v>
      </c>
      <c r="B64" s="23"/>
      <c r="C64" s="23"/>
      <c r="D64" s="23"/>
      <c r="E64" s="25"/>
    </row>
    <row r="65" ht="22.5" customHeight="1">
      <c r="A65" s="27" t="s">
        <v>149</v>
      </c>
      <c r="B65" s="27" t="s">
        <v>150</v>
      </c>
      <c r="C65" s="28">
        <v>4.35</v>
      </c>
      <c r="D65" s="29">
        <v>7.86</v>
      </c>
      <c r="E65" s="25">
        <f t="shared" ref="E65:E67" si="8">(D65-C65)/C65</f>
        <v>0.8068965517</v>
      </c>
    </row>
    <row r="66" ht="22.5" customHeight="1">
      <c r="A66" s="27" t="s">
        <v>151</v>
      </c>
      <c r="B66" s="27" t="s">
        <v>152</v>
      </c>
      <c r="C66" s="28">
        <v>40.15</v>
      </c>
      <c r="D66" s="29">
        <v>36.13</v>
      </c>
      <c r="E66" s="25">
        <f t="shared" si="8"/>
        <v>-0.100124533</v>
      </c>
    </row>
    <row r="67" ht="22.5" customHeight="1">
      <c r="A67" s="27" t="s">
        <v>153</v>
      </c>
      <c r="B67" s="27" t="s">
        <v>154</v>
      </c>
      <c r="C67" s="28">
        <v>0.02</v>
      </c>
      <c r="D67" s="29">
        <v>0.02</v>
      </c>
      <c r="E67" s="25">
        <f t="shared" si="8"/>
        <v>0</v>
      </c>
    </row>
    <row r="68" ht="22.5" customHeight="1">
      <c r="A68" s="23"/>
      <c r="B68" s="23"/>
      <c r="C68" s="23"/>
      <c r="D68" s="23"/>
      <c r="E68" s="25"/>
    </row>
    <row r="69" ht="22.5" customHeight="1">
      <c r="A69" s="33" t="s">
        <v>117</v>
      </c>
      <c r="B69" s="33"/>
      <c r="C69" s="33"/>
      <c r="D69" s="33"/>
      <c r="E69" s="34">
        <f>average(E65:E67)</f>
        <v>0.2355906729</v>
      </c>
    </row>
    <row r="70" ht="22.5" customHeight="1">
      <c r="A70" s="23"/>
      <c r="B70" s="23"/>
      <c r="C70" s="23"/>
      <c r="D70" s="23"/>
      <c r="E70" s="25"/>
    </row>
    <row r="71" ht="22.5" customHeight="1">
      <c r="A71" s="35" t="s">
        <v>155</v>
      </c>
      <c r="B71" s="23"/>
      <c r="C71" s="23"/>
      <c r="D71" s="23"/>
      <c r="E71" s="25"/>
    </row>
    <row r="72" ht="22.5" customHeight="1">
      <c r="A72" s="27" t="s">
        <v>156</v>
      </c>
      <c r="B72" s="27" t="s">
        <v>157</v>
      </c>
      <c r="C72" s="28">
        <v>533.93</v>
      </c>
      <c r="D72" s="29">
        <v>546.0</v>
      </c>
      <c r="E72" s="25">
        <f>(D72-C72)/C72</f>
        <v>0.02260595958</v>
      </c>
    </row>
    <row r="73" ht="22.5" customHeight="1">
      <c r="A73" s="33" t="s">
        <v>117</v>
      </c>
      <c r="B73" s="33"/>
      <c r="C73" s="33"/>
      <c r="D73" s="33"/>
      <c r="E73" s="34">
        <f>average(E72)</f>
        <v>0.02260595958</v>
      </c>
    </row>
    <row r="74" ht="22.5" customHeight="1">
      <c r="A74" s="23"/>
      <c r="B74" s="23"/>
      <c r="C74" s="23"/>
      <c r="D74" s="23"/>
      <c r="E74" s="25"/>
    </row>
    <row r="75" ht="22.5" customHeight="1">
      <c r="A75" s="23"/>
      <c r="B75" s="23"/>
      <c r="C75" s="23"/>
      <c r="D75" s="23"/>
      <c r="E75" s="25"/>
    </row>
    <row r="76" ht="22.5" customHeight="1">
      <c r="A76" s="35" t="s">
        <v>158</v>
      </c>
      <c r="B76" s="23"/>
      <c r="C76" s="23"/>
      <c r="D76" s="23"/>
      <c r="E76" s="25"/>
    </row>
    <row r="77" ht="22.5" customHeight="1">
      <c r="A77" s="27" t="s">
        <v>159</v>
      </c>
      <c r="B77" s="27" t="s">
        <v>160</v>
      </c>
      <c r="C77" s="28">
        <v>0.1</v>
      </c>
      <c r="D77" s="29">
        <v>0.1</v>
      </c>
      <c r="E77" s="25">
        <f>(D77-C77)/C77</f>
        <v>0</v>
      </c>
    </row>
    <row r="78" ht="22.5" customHeight="1">
      <c r="A78" s="23"/>
      <c r="B78" s="23"/>
      <c r="C78" s="23"/>
      <c r="D78" s="23"/>
      <c r="E78" s="25"/>
    </row>
    <row r="79" ht="22.5" customHeight="1">
      <c r="A79" s="33" t="s">
        <v>117</v>
      </c>
      <c r="B79" s="33"/>
      <c r="C79" s="33"/>
      <c r="D79" s="33"/>
      <c r="E79" s="34">
        <f>average(E77)</f>
        <v>0</v>
      </c>
    </row>
    <row r="80" ht="22.5" customHeight="1">
      <c r="A80" s="23"/>
      <c r="B80" s="23"/>
      <c r="C80" s="23"/>
      <c r="D80" s="23"/>
      <c r="E80" s="25"/>
    </row>
    <row r="81" ht="22.5" customHeight="1">
      <c r="A81" s="35" t="s">
        <v>161</v>
      </c>
      <c r="B81" s="23"/>
      <c r="C81" s="23"/>
      <c r="D81" s="23"/>
      <c r="E81" s="25"/>
    </row>
    <row r="82" ht="22.5" customHeight="1">
      <c r="A82" s="27" t="s">
        <v>162</v>
      </c>
      <c r="B82" s="27" t="s">
        <v>163</v>
      </c>
      <c r="C82" s="28">
        <v>0.09</v>
      </c>
      <c r="D82" s="29">
        <v>0.09</v>
      </c>
      <c r="E82" s="25">
        <f>(D82-C82)/C82</f>
        <v>0</v>
      </c>
    </row>
    <row r="83" ht="22.5" customHeight="1">
      <c r="A83" s="43" t="s">
        <v>117</v>
      </c>
      <c r="B83" s="44"/>
      <c r="C83" s="44"/>
      <c r="D83" s="44"/>
      <c r="E83" s="45">
        <f>average(E82)</f>
        <v>0</v>
      </c>
    </row>
    <row r="84" ht="15.75" customHeight="1">
      <c r="A84" s="46"/>
      <c r="B84" s="46"/>
      <c r="C84" s="46"/>
      <c r="D84" s="46"/>
      <c r="E84" s="47"/>
    </row>
    <row r="85" ht="15.75" customHeight="1">
      <c r="E85" s="48"/>
    </row>
    <row r="86" ht="15.75" customHeight="1">
      <c r="E86" s="48"/>
    </row>
    <row r="87" ht="15.75" customHeight="1">
      <c r="E87" s="48"/>
    </row>
    <row r="88" ht="15.75" customHeight="1">
      <c r="E88" s="48"/>
    </row>
    <row r="89" ht="15.75" customHeight="1">
      <c r="E89" s="48"/>
    </row>
    <row r="90" ht="15.75" customHeight="1">
      <c r="E90" s="48"/>
    </row>
    <row r="91" ht="15.75" customHeight="1">
      <c r="E91" s="48"/>
    </row>
    <row r="92" ht="15.75" customHeight="1">
      <c r="E92" s="48"/>
    </row>
    <row r="93" ht="15.75" customHeight="1">
      <c r="E93" s="48"/>
    </row>
    <row r="94" ht="15.75" customHeight="1">
      <c r="E94" s="48"/>
    </row>
    <row r="95" ht="15.75" customHeight="1">
      <c r="E95" s="48"/>
    </row>
    <row r="96" ht="15.75" customHeight="1">
      <c r="E96" s="48"/>
    </row>
    <row r="97" ht="15.75" customHeight="1">
      <c r="E97" s="48"/>
    </row>
    <row r="98" ht="15.75" customHeight="1">
      <c r="E98" s="48"/>
    </row>
    <row r="99" ht="15.75" customHeight="1">
      <c r="E99" s="48"/>
    </row>
    <row r="100" ht="15.75" customHeight="1">
      <c r="E100" s="48"/>
    </row>
    <row r="101" ht="15.75" customHeight="1">
      <c r="E101" s="48"/>
    </row>
    <row r="102" ht="15.75" customHeight="1">
      <c r="E102" s="48"/>
    </row>
    <row r="103" ht="15.75" customHeight="1">
      <c r="E103" s="48"/>
    </row>
    <row r="104" ht="15.75" customHeight="1">
      <c r="E104" s="48"/>
    </row>
    <row r="105" ht="15.75" customHeight="1">
      <c r="E105" s="48"/>
    </row>
    <row r="106" ht="15.75" customHeight="1">
      <c r="E106" s="48"/>
    </row>
    <row r="107" ht="15.75" customHeight="1">
      <c r="E107" s="48"/>
    </row>
    <row r="108" ht="15.75" customHeight="1">
      <c r="E108" s="48"/>
    </row>
    <row r="109" ht="15.75" customHeight="1">
      <c r="E109" s="48"/>
    </row>
    <row r="110" ht="15.75" customHeight="1">
      <c r="E110" s="48"/>
    </row>
    <row r="111" ht="15.75" customHeight="1">
      <c r="E111" s="48"/>
    </row>
    <row r="112" ht="15.75" customHeight="1">
      <c r="E112" s="48"/>
    </row>
    <row r="113" ht="15.75" customHeight="1">
      <c r="E113" s="48"/>
    </row>
    <row r="114" ht="15.75" customHeight="1">
      <c r="E114" s="48"/>
    </row>
    <row r="115" ht="15.75" customHeight="1">
      <c r="E115" s="48"/>
    </row>
    <row r="116" ht="15.75" customHeight="1">
      <c r="E116" s="48"/>
    </row>
    <row r="117" ht="15.75" customHeight="1">
      <c r="E117" s="48"/>
    </row>
    <row r="118" ht="15.75" customHeight="1">
      <c r="E118" s="48"/>
    </row>
    <row r="119" ht="15.75" customHeight="1">
      <c r="E119" s="48"/>
    </row>
    <row r="120" ht="15.75" customHeight="1">
      <c r="E120" s="48"/>
    </row>
    <row r="121" ht="15.75" customHeight="1">
      <c r="E121" s="48"/>
    </row>
    <row r="122" ht="15.75" customHeight="1">
      <c r="E122" s="48"/>
    </row>
    <row r="123" ht="15.75" customHeight="1">
      <c r="E123" s="48"/>
    </row>
    <row r="124" ht="15.75" customHeight="1">
      <c r="E124" s="48"/>
    </row>
    <row r="125" ht="15.75" customHeight="1">
      <c r="E125" s="48"/>
    </row>
    <row r="126" ht="15.75" customHeight="1">
      <c r="E126" s="48"/>
    </row>
    <row r="127" ht="15.75" customHeight="1">
      <c r="E127" s="48"/>
    </row>
    <row r="128" ht="15.75" customHeight="1">
      <c r="E128" s="48"/>
    </row>
    <row r="129" ht="15.75" customHeight="1">
      <c r="E129" s="48"/>
    </row>
    <row r="130" ht="15.75" customHeight="1">
      <c r="E130" s="48"/>
    </row>
    <row r="131" ht="15.75" customHeight="1">
      <c r="E131" s="48"/>
    </row>
    <row r="132" ht="15.75" customHeight="1">
      <c r="E132" s="48"/>
    </row>
    <row r="133" ht="15.75" customHeight="1">
      <c r="E133" s="48"/>
    </row>
    <row r="134" ht="15.75" customHeight="1">
      <c r="E134" s="48"/>
    </row>
    <row r="135" ht="15.75" customHeight="1">
      <c r="E135" s="48"/>
    </row>
    <row r="136" ht="15.75" customHeight="1">
      <c r="E136" s="48"/>
    </row>
    <row r="137" ht="15.75" customHeight="1">
      <c r="E137" s="48"/>
    </row>
    <row r="138" ht="15.75" customHeight="1">
      <c r="E138" s="48"/>
    </row>
    <row r="139" ht="15.75" customHeight="1">
      <c r="E139" s="48"/>
    </row>
    <row r="140" ht="15.75" customHeight="1">
      <c r="E140" s="48"/>
    </row>
    <row r="141" ht="15.75" customHeight="1">
      <c r="E141" s="48"/>
    </row>
    <row r="142" ht="15.75" customHeight="1">
      <c r="E142" s="48"/>
    </row>
    <row r="143" ht="15.75" customHeight="1">
      <c r="E143" s="48"/>
    </row>
    <row r="144" ht="15.75" customHeight="1">
      <c r="E144" s="48"/>
    </row>
    <row r="145" ht="15.75" customHeight="1">
      <c r="E145" s="48"/>
    </row>
    <row r="146" ht="15.75" customHeight="1">
      <c r="E146" s="48"/>
    </row>
    <row r="147" ht="15.75" customHeight="1">
      <c r="E147" s="48"/>
    </row>
    <row r="148" ht="15.75" customHeight="1">
      <c r="E148" s="48"/>
    </row>
    <row r="149" ht="15.75" customHeight="1">
      <c r="E149" s="48"/>
    </row>
    <row r="150" ht="15.75" customHeight="1">
      <c r="E150" s="48"/>
    </row>
    <row r="151" ht="15.75" customHeight="1">
      <c r="E151" s="48"/>
    </row>
    <row r="152" ht="15.75" customHeight="1">
      <c r="E152" s="48"/>
    </row>
    <row r="153" ht="15.75" customHeight="1">
      <c r="E153" s="48"/>
    </row>
    <row r="154" ht="15.75" customHeight="1">
      <c r="E154" s="48"/>
    </row>
    <row r="155" ht="15.75" customHeight="1">
      <c r="E155" s="48"/>
    </row>
    <row r="156" ht="15.75" customHeight="1">
      <c r="E156" s="48"/>
    </row>
    <row r="157" ht="15.75" customHeight="1">
      <c r="E157" s="48"/>
    </row>
    <row r="158" ht="15.75" customHeight="1">
      <c r="E158" s="48"/>
    </row>
    <row r="159" ht="15.75" customHeight="1">
      <c r="E159" s="48"/>
    </row>
    <row r="160" ht="15.75" customHeight="1">
      <c r="E160" s="48"/>
    </row>
    <row r="161" ht="15.75" customHeight="1">
      <c r="E161" s="48"/>
    </row>
    <row r="162" ht="15.75" customHeight="1">
      <c r="E162" s="48"/>
    </row>
    <row r="163" ht="15.75" customHeight="1">
      <c r="E163" s="48"/>
    </row>
    <row r="164" ht="15.75" customHeight="1">
      <c r="E164" s="48"/>
    </row>
    <row r="165" ht="15.75" customHeight="1">
      <c r="E165" s="48"/>
    </row>
    <row r="166" ht="15.75" customHeight="1">
      <c r="E166" s="48"/>
    </row>
    <row r="167" ht="15.75" customHeight="1">
      <c r="E167" s="48"/>
    </row>
    <row r="168" ht="15.75" customHeight="1">
      <c r="E168" s="48"/>
    </row>
    <row r="169" ht="15.75" customHeight="1">
      <c r="E169" s="48"/>
    </row>
    <row r="170" ht="15.75" customHeight="1">
      <c r="E170" s="48"/>
    </row>
    <row r="171" ht="15.75" customHeight="1">
      <c r="E171" s="48"/>
    </row>
    <row r="172" ht="15.75" customHeight="1">
      <c r="E172" s="48"/>
    </row>
    <row r="173" ht="15.75" customHeight="1">
      <c r="E173" s="48"/>
    </row>
    <row r="174" ht="15.75" customHeight="1">
      <c r="E174" s="48"/>
    </row>
    <row r="175" ht="15.75" customHeight="1">
      <c r="E175" s="48"/>
    </row>
    <row r="176" ht="15.75" customHeight="1">
      <c r="E176" s="48"/>
    </row>
    <row r="177" ht="15.75" customHeight="1">
      <c r="E177" s="48"/>
    </row>
    <row r="178" ht="15.75" customHeight="1">
      <c r="E178" s="48"/>
    </row>
    <row r="179" ht="15.75" customHeight="1">
      <c r="E179" s="48"/>
    </row>
    <row r="180" ht="15.75" customHeight="1">
      <c r="E180" s="48"/>
    </row>
    <row r="181" ht="15.75" customHeight="1">
      <c r="E181" s="48"/>
    </row>
    <row r="182" ht="15.75" customHeight="1">
      <c r="E182" s="48"/>
    </row>
    <row r="183" ht="15.75" customHeight="1">
      <c r="E183" s="48"/>
    </row>
    <row r="184" ht="15.75" customHeight="1">
      <c r="E184" s="48"/>
    </row>
    <row r="185" ht="15.75" customHeight="1">
      <c r="E185" s="48"/>
    </row>
    <row r="186" ht="15.75" customHeight="1">
      <c r="E186" s="48"/>
    </row>
    <row r="187" ht="15.75" customHeight="1">
      <c r="E187" s="48"/>
    </row>
    <row r="188" ht="15.75" customHeight="1">
      <c r="E188" s="48"/>
    </row>
    <row r="189" ht="15.75" customHeight="1">
      <c r="E189" s="48"/>
    </row>
    <row r="190" ht="15.75" customHeight="1">
      <c r="E190" s="48"/>
    </row>
    <row r="191" ht="15.75" customHeight="1">
      <c r="E191" s="48"/>
    </row>
    <row r="192" ht="15.75" customHeight="1">
      <c r="E192" s="48"/>
    </row>
    <row r="193" ht="15.75" customHeight="1">
      <c r="E193" s="48"/>
    </row>
    <row r="194" ht="15.75" customHeight="1">
      <c r="E194" s="48"/>
    </row>
    <row r="195" ht="15.75" customHeight="1">
      <c r="E195" s="48"/>
    </row>
    <row r="196" ht="15.75" customHeight="1">
      <c r="E196" s="48"/>
    </row>
    <row r="197" ht="15.75" customHeight="1">
      <c r="E197" s="48"/>
    </row>
    <row r="198" ht="15.75" customHeight="1">
      <c r="E198" s="48"/>
    </row>
    <row r="199" ht="15.75" customHeight="1">
      <c r="E199" s="48"/>
    </row>
    <row r="200" ht="15.75" customHeight="1">
      <c r="E200" s="48"/>
    </row>
    <row r="201" ht="15.75" customHeight="1">
      <c r="E201" s="48"/>
    </row>
    <row r="202" ht="15.75" customHeight="1">
      <c r="E202" s="48"/>
    </row>
    <row r="203" ht="15.75" customHeight="1">
      <c r="E203" s="48"/>
    </row>
    <row r="204" ht="15.75" customHeight="1">
      <c r="E204" s="48"/>
    </row>
    <row r="205" ht="15.75" customHeight="1">
      <c r="E205" s="48"/>
    </row>
    <row r="206" ht="15.75" customHeight="1">
      <c r="E206" s="48"/>
    </row>
    <row r="207" ht="15.75" customHeight="1">
      <c r="E207" s="48"/>
    </row>
    <row r="208" ht="15.75" customHeight="1">
      <c r="E208" s="48"/>
    </row>
    <row r="209" ht="15.75" customHeight="1">
      <c r="E209" s="48"/>
    </row>
    <row r="210" ht="15.75" customHeight="1">
      <c r="E210" s="48"/>
    </row>
    <row r="211" ht="15.75" customHeight="1">
      <c r="E211" s="48"/>
    </row>
    <row r="212" ht="15.75" customHeight="1">
      <c r="E212" s="48"/>
    </row>
    <row r="213" ht="15.75" customHeight="1">
      <c r="E213" s="48"/>
    </row>
    <row r="214" ht="15.75" customHeight="1">
      <c r="E214" s="48"/>
    </row>
    <row r="215" ht="15.75" customHeight="1">
      <c r="E215" s="48"/>
    </row>
    <row r="216" ht="15.75" customHeight="1">
      <c r="E216" s="48"/>
    </row>
    <row r="217" ht="15.75" customHeight="1">
      <c r="E217" s="48"/>
    </row>
    <row r="218" ht="15.75" customHeight="1">
      <c r="E218" s="48"/>
    </row>
    <row r="219" ht="15.75" customHeight="1">
      <c r="E219" s="48"/>
    </row>
    <row r="220" ht="15.75" customHeight="1">
      <c r="E220" s="48"/>
    </row>
    <row r="221" ht="15.75" customHeight="1">
      <c r="E221" s="48"/>
    </row>
    <row r="222" ht="15.75" customHeight="1">
      <c r="E222" s="48"/>
    </row>
    <row r="223" ht="15.75" customHeight="1">
      <c r="E223" s="48"/>
    </row>
    <row r="224" ht="15.75" customHeight="1">
      <c r="E224" s="48"/>
    </row>
    <row r="225" ht="15.75" customHeight="1">
      <c r="E225" s="48"/>
    </row>
    <row r="226" ht="15.75" customHeight="1">
      <c r="E226" s="48"/>
    </row>
    <row r="227" ht="15.75" customHeight="1">
      <c r="E227" s="48"/>
    </row>
    <row r="228" ht="15.75" customHeight="1">
      <c r="E228" s="48"/>
    </row>
    <row r="229" ht="15.75" customHeight="1">
      <c r="E229" s="48"/>
    </row>
    <row r="230" ht="15.75" customHeight="1">
      <c r="E230" s="48"/>
    </row>
    <row r="231" ht="15.75" customHeight="1">
      <c r="E231" s="48"/>
    </row>
    <row r="232" ht="15.75" customHeight="1">
      <c r="E232" s="48"/>
    </row>
    <row r="233" ht="15.75" customHeight="1">
      <c r="E233" s="48"/>
    </row>
    <row r="234" ht="15.75" customHeight="1">
      <c r="E234" s="48"/>
    </row>
    <row r="235" ht="15.75" customHeight="1">
      <c r="E235" s="48"/>
    </row>
    <row r="236" ht="15.75" customHeight="1">
      <c r="E236" s="48"/>
    </row>
    <row r="237" ht="15.75" customHeight="1">
      <c r="E237" s="48"/>
    </row>
    <row r="238" ht="15.75" customHeight="1">
      <c r="E238" s="48"/>
    </row>
    <row r="239" ht="15.75" customHeight="1">
      <c r="E239" s="48"/>
    </row>
    <row r="240" ht="15.75" customHeight="1">
      <c r="E240" s="48"/>
    </row>
    <row r="241" ht="15.75" customHeight="1">
      <c r="E241" s="48"/>
    </row>
    <row r="242" ht="15.75" customHeight="1">
      <c r="E242" s="48"/>
    </row>
    <row r="243" ht="15.75" customHeight="1">
      <c r="E243" s="48"/>
    </row>
    <row r="244" ht="15.75" customHeight="1">
      <c r="E244" s="48"/>
    </row>
    <row r="245" ht="15.75" customHeight="1">
      <c r="E245" s="48"/>
    </row>
    <row r="246" ht="15.75" customHeight="1">
      <c r="E246" s="48"/>
    </row>
    <row r="247" ht="15.75" customHeight="1">
      <c r="E247" s="48"/>
    </row>
    <row r="248" ht="15.75" customHeight="1">
      <c r="E248" s="48"/>
    </row>
    <row r="249" ht="15.75" customHeight="1">
      <c r="E249" s="48"/>
    </row>
    <row r="250" ht="15.75" customHeight="1">
      <c r="E250" s="48"/>
    </row>
    <row r="251" ht="15.75" customHeight="1">
      <c r="E251" s="48"/>
    </row>
    <row r="252" ht="15.75" customHeight="1">
      <c r="E252" s="48"/>
    </row>
    <row r="253" ht="15.75" customHeight="1">
      <c r="E253" s="48"/>
    </row>
    <row r="254" ht="15.75" customHeight="1">
      <c r="E254" s="48"/>
    </row>
    <row r="255" ht="15.75" customHeight="1">
      <c r="E255" s="48"/>
    </row>
    <row r="256" ht="15.75" customHeight="1">
      <c r="E256" s="48"/>
    </row>
    <row r="257" ht="15.75" customHeight="1">
      <c r="E257" s="48"/>
    </row>
    <row r="258" ht="15.75" customHeight="1">
      <c r="E258" s="48"/>
    </row>
    <row r="259" ht="15.75" customHeight="1">
      <c r="E259" s="48"/>
    </row>
    <row r="260" ht="15.75" customHeight="1">
      <c r="E260" s="48"/>
    </row>
    <row r="261" ht="15.75" customHeight="1">
      <c r="E261" s="48"/>
    </row>
    <row r="262" ht="15.75" customHeight="1">
      <c r="E262" s="48"/>
    </row>
    <row r="263" ht="15.75" customHeight="1">
      <c r="E263" s="48"/>
    </row>
    <row r="264" ht="15.75" customHeight="1">
      <c r="E264" s="48"/>
    </row>
    <row r="265" ht="15.75" customHeight="1">
      <c r="E265" s="48"/>
    </row>
    <row r="266" ht="15.75" customHeight="1">
      <c r="E266" s="48"/>
    </row>
    <row r="267" ht="15.75" customHeight="1">
      <c r="E267" s="48"/>
    </row>
    <row r="268" ht="15.75" customHeight="1">
      <c r="E268" s="48"/>
    </row>
    <row r="269" ht="15.75" customHeight="1">
      <c r="E269" s="48"/>
    </row>
    <row r="270" ht="15.75" customHeight="1">
      <c r="E270" s="48"/>
    </row>
    <row r="271" ht="15.75" customHeight="1">
      <c r="E271" s="48"/>
    </row>
    <row r="272" ht="15.75" customHeight="1">
      <c r="E272" s="48"/>
    </row>
    <row r="273" ht="15.75" customHeight="1">
      <c r="E273" s="48"/>
    </row>
    <row r="274" ht="15.75" customHeight="1">
      <c r="E274" s="48"/>
    </row>
    <row r="275" ht="15.75" customHeight="1">
      <c r="E275" s="48"/>
    </row>
    <row r="276" ht="15.75" customHeight="1">
      <c r="E276" s="48"/>
    </row>
    <row r="277" ht="15.75" customHeight="1">
      <c r="E277" s="48"/>
    </row>
    <row r="278" ht="15.75" customHeight="1">
      <c r="E278" s="48"/>
    </row>
    <row r="279" ht="15.75" customHeight="1">
      <c r="E279" s="48"/>
    </row>
    <row r="280" ht="15.75" customHeight="1">
      <c r="E280" s="48"/>
    </row>
    <row r="281" ht="15.75" customHeight="1">
      <c r="E281" s="48"/>
    </row>
    <row r="282" ht="15.75" customHeight="1">
      <c r="E282" s="48"/>
    </row>
    <row r="283" ht="15.75" customHeight="1">
      <c r="E283" s="48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E2:E83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25"/>
    <col customWidth="1" min="2" max="2" width="16.0"/>
    <col customWidth="1" min="3" max="3" width="30.63"/>
    <col customWidth="1" min="4" max="4" width="18.88"/>
    <col customWidth="1" min="5" max="5" width="16.13"/>
  </cols>
  <sheetData>
    <row r="1">
      <c r="A1" s="49" t="s">
        <v>164</v>
      </c>
      <c r="B1" s="50" t="s">
        <v>165</v>
      </c>
      <c r="C1" s="20" t="s">
        <v>166</v>
      </c>
      <c r="D1" s="50" t="s">
        <v>167</v>
      </c>
      <c r="E1" s="22" t="s">
        <v>3</v>
      </c>
      <c r="F1" s="51" t="s">
        <v>168</v>
      </c>
      <c r="G1" s="51" t="s">
        <v>169</v>
      </c>
      <c r="H1" s="52"/>
      <c r="I1" s="52"/>
    </row>
    <row r="2" ht="22.5" customHeight="1">
      <c r="A2" s="53" t="s">
        <v>170</v>
      </c>
      <c r="B2" s="54" t="s">
        <v>171</v>
      </c>
      <c r="C2" s="55">
        <v>5183.8</v>
      </c>
      <c r="D2" s="56">
        <v>5183.8</v>
      </c>
      <c r="E2" s="25">
        <f t="shared" ref="E2:E15" si="1">(D2-C2)/C2</f>
        <v>0</v>
      </c>
      <c r="F2" s="57" t="s">
        <v>172</v>
      </c>
      <c r="G2" s="58" t="s">
        <v>173</v>
      </c>
      <c r="H2" s="59"/>
      <c r="I2" s="59"/>
    </row>
    <row r="3" ht="22.5" customHeight="1">
      <c r="A3" s="53" t="s">
        <v>172</v>
      </c>
      <c r="B3" s="54" t="s">
        <v>174</v>
      </c>
      <c r="C3" s="55">
        <v>78.71</v>
      </c>
      <c r="D3" s="60">
        <v>100.0</v>
      </c>
      <c r="E3" s="25">
        <f t="shared" si="1"/>
        <v>0.2704865964</v>
      </c>
      <c r="F3" s="57" t="s">
        <v>175</v>
      </c>
      <c r="G3" s="58" t="s">
        <v>176</v>
      </c>
      <c r="H3" s="59"/>
      <c r="I3" s="59"/>
    </row>
    <row r="4" ht="22.5" customHeight="1">
      <c r="A4" s="61" t="s">
        <v>177</v>
      </c>
      <c r="B4" s="62" t="s">
        <v>178</v>
      </c>
      <c r="C4" s="63">
        <v>3.87</v>
      </c>
      <c r="D4" s="64">
        <v>3.095</v>
      </c>
      <c r="E4" s="65">
        <f t="shared" si="1"/>
        <v>-0.2002583979</v>
      </c>
      <c r="F4" s="57" t="s">
        <v>179</v>
      </c>
      <c r="G4" s="58" t="s">
        <v>180</v>
      </c>
      <c r="H4" s="59"/>
      <c r="I4" s="59"/>
    </row>
    <row r="5" ht="22.5" customHeight="1">
      <c r="A5" s="53" t="s">
        <v>181</v>
      </c>
      <c r="B5" s="54" t="s">
        <v>182</v>
      </c>
      <c r="C5" s="55">
        <v>3412.0</v>
      </c>
      <c r="D5" s="56">
        <v>3412.0</v>
      </c>
      <c r="E5" s="25">
        <f t="shared" si="1"/>
        <v>0</v>
      </c>
      <c r="F5" s="57" t="s">
        <v>183</v>
      </c>
      <c r="G5" s="58" t="s">
        <v>184</v>
      </c>
      <c r="H5" s="59"/>
      <c r="I5" s="59"/>
    </row>
    <row r="6" ht="22.5" customHeight="1">
      <c r="A6" s="53" t="s">
        <v>185</v>
      </c>
      <c r="B6" s="54" t="s">
        <v>186</v>
      </c>
      <c r="C6" s="56">
        <v>178000.0</v>
      </c>
      <c r="D6" s="56">
        <v>164500.0</v>
      </c>
      <c r="E6" s="25">
        <f t="shared" si="1"/>
        <v>-0.07584269663</v>
      </c>
      <c r="F6" s="57" t="s">
        <v>187</v>
      </c>
      <c r="G6" s="58" t="s">
        <v>188</v>
      </c>
      <c r="H6" s="59"/>
      <c r="I6" s="59"/>
    </row>
    <row r="7" ht="22.5" customHeight="1">
      <c r="A7" s="53" t="s">
        <v>179</v>
      </c>
      <c r="B7" s="54" t="s">
        <v>189</v>
      </c>
      <c r="C7" s="60">
        <v>92.4</v>
      </c>
      <c r="D7" s="60">
        <v>95.15</v>
      </c>
      <c r="E7" s="25">
        <f t="shared" si="1"/>
        <v>0.02976190476</v>
      </c>
      <c r="F7" s="57" t="s">
        <v>190</v>
      </c>
      <c r="G7" s="58" t="s">
        <v>191</v>
      </c>
      <c r="H7" s="66"/>
      <c r="I7" s="67"/>
    </row>
    <row r="8" ht="22.5" customHeight="1">
      <c r="A8" s="53" t="s">
        <v>192</v>
      </c>
      <c r="B8" s="54" t="s">
        <v>171</v>
      </c>
      <c r="C8" s="56">
        <v>1828.5</v>
      </c>
      <c r="D8" s="56">
        <v>1397.9</v>
      </c>
      <c r="E8" s="25">
        <f t="shared" si="1"/>
        <v>-0.235493574</v>
      </c>
      <c r="F8" s="57" t="s">
        <v>193</v>
      </c>
      <c r="G8" s="58" t="s">
        <v>194</v>
      </c>
      <c r="H8" s="66"/>
      <c r="I8" s="68"/>
    </row>
    <row r="9" ht="22.5" customHeight="1">
      <c r="A9" s="53" t="s">
        <v>195</v>
      </c>
      <c r="B9" s="54" t="s">
        <v>189</v>
      </c>
      <c r="C9" s="60">
        <v>6.06</v>
      </c>
      <c r="D9" s="60">
        <v>5.47</v>
      </c>
      <c r="E9" s="25">
        <f t="shared" si="1"/>
        <v>-0.09735973597</v>
      </c>
      <c r="F9" s="57" t="s">
        <v>196</v>
      </c>
      <c r="G9" s="58" t="s">
        <v>197</v>
      </c>
      <c r="H9" s="66"/>
      <c r="I9" s="67"/>
    </row>
    <row r="10" ht="22.5" customHeight="1">
      <c r="A10" s="53" t="s">
        <v>193</v>
      </c>
      <c r="B10" s="54" t="s">
        <v>171</v>
      </c>
      <c r="C10" s="60">
        <v>68.42</v>
      </c>
      <c r="D10" s="60">
        <v>68.91</v>
      </c>
      <c r="E10" s="25">
        <f t="shared" si="1"/>
        <v>0.007161648641</v>
      </c>
      <c r="F10" s="57" t="s">
        <v>177</v>
      </c>
      <c r="G10" s="68" t="s">
        <v>198</v>
      </c>
      <c r="H10" s="69"/>
      <c r="I10" s="69"/>
    </row>
    <row r="11" ht="22.5" customHeight="1">
      <c r="A11" s="53" t="s">
        <v>196</v>
      </c>
      <c r="B11" s="54" t="s">
        <v>182</v>
      </c>
      <c r="C11" s="56">
        <v>17205.0</v>
      </c>
      <c r="D11" s="56">
        <v>17325.0</v>
      </c>
      <c r="E11" s="25">
        <f t="shared" si="1"/>
        <v>0.006974716652</v>
      </c>
      <c r="F11" s="57" t="s">
        <v>170</v>
      </c>
      <c r="G11" s="67" t="s">
        <v>199</v>
      </c>
      <c r="H11" s="70"/>
      <c r="I11" s="70"/>
    </row>
    <row r="12" ht="22.5" customHeight="1">
      <c r="A12" s="53" t="s">
        <v>190</v>
      </c>
      <c r="B12" s="54" t="s">
        <v>189</v>
      </c>
      <c r="C12" s="60">
        <v>25.8</v>
      </c>
      <c r="D12" s="60">
        <v>26.0</v>
      </c>
      <c r="E12" s="25">
        <f t="shared" si="1"/>
        <v>0.007751937984</v>
      </c>
      <c r="F12" s="57" t="s">
        <v>181</v>
      </c>
      <c r="G12" s="68" t="s">
        <v>200</v>
      </c>
      <c r="H12" s="70"/>
      <c r="I12" s="70"/>
    </row>
    <row r="13" ht="22.5" customHeight="1">
      <c r="A13" s="53" t="s">
        <v>187</v>
      </c>
      <c r="B13" s="54" t="s">
        <v>201</v>
      </c>
      <c r="C13" s="60">
        <v>14.1</v>
      </c>
      <c r="D13" s="60">
        <v>14.25</v>
      </c>
      <c r="E13" s="25">
        <f t="shared" si="1"/>
        <v>0.01063829787</v>
      </c>
      <c r="F13" s="57" t="s">
        <v>185</v>
      </c>
      <c r="G13" s="71" t="s">
        <v>202</v>
      </c>
      <c r="H13" s="72"/>
      <c r="I13" s="72"/>
    </row>
    <row r="14" ht="22.5" customHeight="1">
      <c r="A14" s="53" t="s">
        <v>183</v>
      </c>
      <c r="B14" s="54" t="s">
        <v>182</v>
      </c>
      <c r="C14" s="60">
        <v>720.0</v>
      </c>
      <c r="D14" s="60">
        <v>735.0</v>
      </c>
      <c r="E14" s="25">
        <f t="shared" si="1"/>
        <v>0.02083333333</v>
      </c>
      <c r="F14" s="57" t="s">
        <v>195</v>
      </c>
      <c r="G14" s="71" t="s">
        <v>203</v>
      </c>
      <c r="H14" s="72"/>
      <c r="I14" s="72"/>
    </row>
    <row r="15" ht="22.5" customHeight="1">
      <c r="A15" s="53" t="s">
        <v>175</v>
      </c>
      <c r="B15" s="54" t="s">
        <v>204</v>
      </c>
      <c r="C15" s="60">
        <v>4.32</v>
      </c>
      <c r="D15" s="60">
        <v>4.45</v>
      </c>
      <c r="E15" s="25">
        <f t="shared" si="1"/>
        <v>0.03009259259</v>
      </c>
      <c r="F15" s="57" t="s">
        <v>192</v>
      </c>
      <c r="G15" s="71" t="s">
        <v>205</v>
      </c>
      <c r="H15" s="72"/>
      <c r="I15" s="72"/>
    </row>
    <row r="16" ht="15.75" customHeight="1">
      <c r="A16" s="46"/>
      <c r="B16" s="73"/>
      <c r="C16" s="73"/>
      <c r="D16" s="73"/>
      <c r="E16" s="47"/>
    </row>
    <row r="17" ht="15.75" customHeight="1">
      <c r="E17" s="48"/>
    </row>
    <row r="18" ht="15.75" customHeight="1">
      <c r="E18" s="48"/>
    </row>
    <row r="19" ht="15.75" customHeight="1">
      <c r="E19" s="48"/>
    </row>
    <row r="20" ht="15.75" customHeight="1">
      <c r="E20" s="48"/>
    </row>
    <row r="21" ht="15.75" customHeight="1">
      <c r="E21" s="48"/>
    </row>
    <row r="22" ht="15.75" customHeight="1">
      <c r="E22" s="48"/>
    </row>
    <row r="23" ht="15.75" customHeight="1">
      <c r="E23" s="48"/>
    </row>
    <row r="24" ht="15.75" customHeight="1">
      <c r="E24" s="48"/>
    </row>
    <row r="25" ht="15.75" customHeight="1">
      <c r="E25" s="48"/>
    </row>
    <row r="26" ht="15.75" customHeight="1">
      <c r="E26" s="48"/>
    </row>
    <row r="27" ht="15.75" customHeight="1">
      <c r="E27" s="48"/>
    </row>
    <row r="28" ht="15.75" customHeight="1">
      <c r="E28" s="48"/>
    </row>
    <row r="29" ht="15.75" customHeight="1">
      <c r="E29" s="48"/>
    </row>
    <row r="30" ht="15.75" customHeight="1">
      <c r="E30" s="48"/>
    </row>
    <row r="31" ht="15.75" customHeight="1">
      <c r="E31" s="48"/>
    </row>
    <row r="32" ht="15.75" customHeight="1">
      <c r="E32" s="48"/>
    </row>
    <row r="33" ht="15.75" customHeight="1">
      <c r="E33" s="48"/>
    </row>
    <row r="34" ht="15.75" customHeight="1">
      <c r="E34" s="48"/>
    </row>
    <row r="35" ht="15.75" customHeight="1">
      <c r="E35" s="48"/>
    </row>
    <row r="36" ht="15.75" customHeight="1">
      <c r="E36" s="48"/>
    </row>
    <row r="37" ht="15.75" customHeight="1">
      <c r="E37" s="48"/>
    </row>
    <row r="38" ht="15.75" customHeight="1">
      <c r="E38" s="48"/>
    </row>
    <row r="39" ht="15.75" customHeight="1">
      <c r="E39" s="48"/>
    </row>
    <row r="40" ht="15.75" customHeight="1">
      <c r="E40" s="48"/>
    </row>
    <row r="41" ht="15.75" customHeight="1">
      <c r="E41" s="48"/>
    </row>
    <row r="42" ht="15.75" customHeight="1">
      <c r="E42" s="48"/>
    </row>
    <row r="43" ht="15.75" customHeight="1">
      <c r="E43" s="48"/>
    </row>
    <row r="44" ht="15.75" customHeight="1">
      <c r="E44" s="48"/>
    </row>
    <row r="45" ht="15.75" customHeight="1">
      <c r="E45" s="48"/>
    </row>
    <row r="46" ht="15.75" customHeight="1">
      <c r="E46" s="48"/>
    </row>
    <row r="47" ht="15.75" customHeight="1">
      <c r="E47" s="48"/>
    </row>
    <row r="48" ht="15.75" customHeight="1">
      <c r="E48" s="48"/>
    </row>
    <row r="49" ht="15.75" customHeight="1">
      <c r="E49" s="48"/>
    </row>
    <row r="50" ht="15.75" customHeight="1">
      <c r="E50" s="48"/>
    </row>
    <row r="51" ht="15.75" customHeight="1">
      <c r="E51" s="48"/>
    </row>
    <row r="52" ht="15.75" customHeight="1">
      <c r="E52" s="48"/>
    </row>
    <row r="53" ht="15.75" customHeight="1">
      <c r="E53" s="48"/>
    </row>
    <row r="54" ht="15.75" customHeight="1">
      <c r="E54" s="48"/>
    </row>
    <row r="55" ht="15.75" customHeight="1">
      <c r="E55" s="48"/>
    </row>
    <row r="56" ht="15.75" customHeight="1">
      <c r="E56" s="48"/>
    </row>
    <row r="57" ht="15.75" customHeight="1">
      <c r="E57" s="48"/>
    </row>
    <row r="58" ht="15.75" customHeight="1">
      <c r="E58" s="48"/>
    </row>
    <row r="59" ht="15.75" customHeight="1">
      <c r="E59" s="48"/>
    </row>
    <row r="60" ht="15.75" customHeight="1">
      <c r="E60" s="48"/>
    </row>
    <row r="61" ht="15.75" customHeight="1">
      <c r="E61" s="48"/>
    </row>
    <row r="62" ht="15.75" customHeight="1">
      <c r="E62" s="48"/>
    </row>
    <row r="63" ht="15.75" customHeight="1">
      <c r="E63" s="48"/>
    </row>
    <row r="64" ht="15.75" customHeight="1">
      <c r="E64" s="48"/>
    </row>
    <row r="65" ht="15.75" customHeight="1">
      <c r="E65" s="48"/>
    </row>
    <row r="66" ht="15.75" customHeight="1">
      <c r="E66" s="48"/>
    </row>
    <row r="67" ht="15.75" customHeight="1">
      <c r="E67" s="48"/>
    </row>
    <row r="68" ht="15.75" customHeight="1">
      <c r="E68" s="48"/>
    </row>
    <row r="69" ht="15.75" customHeight="1">
      <c r="E69" s="48"/>
    </row>
    <row r="70" ht="15.75" customHeight="1">
      <c r="E70" s="48"/>
    </row>
    <row r="71" ht="15.75" customHeight="1">
      <c r="E71" s="48"/>
    </row>
    <row r="72" ht="15.75" customHeight="1">
      <c r="E72" s="48"/>
    </row>
    <row r="73" ht="15.75" customHeight="1">
      <c r="E73" s="48"/>
    </row>
    <row r="74" ht="15.75" customHeight="1">
      <c r="E74" s="48"/>
    </row>
    <row r="75" ht="15.75" customHeight="1">
      <c r="E75" s="48"/>
    </row>
    <row r="76" ht="15.75" customHeight="1">
      <c r="E76" s="48"/>
    </row>
    <row r="77" ht="15.75" customHeight="1">
      <c r="E77" s="48"/>
    </row>
    <row r="78" ht="15.75" customHeight="1">
      <c r="E78" s="48"/>
    </row>
    <row r="79" ht="15.75" customHeight="1">
      <c r="E79" s="48"/>
    </row>
    <row r="80" ht="15.75" customHeight="1">
      <c r="E80" s="48"/>
    </row>
    <row r="81" ht="15.75" customHeight="1">
      <c r="E81" s="48"/>
    </row>
    <row r="82" ht="15.75" customHeight="1">
      <c r="E82" s="48"/>
    </row>
    <row r="83" ht="15.75" customHeight="1">
      <c r="E83" s="48"/>
    </row>
    <row r="84" ht="15.75" customHeight="1">
      <c r="E84" s="48"/>
    </row>
    <row r="85" ht="15.75" customHeight="1">
      <c r="E85" s="48"/>
    </row>
    <row r="86" ht="15.75" customHeight="1">
      <c r="E86" s="48"/>
    </row>
    <row r="87" ht="15.75" customHeight="1">
      <c r="E87" s="48"/>
    </row>
    <row r="88" ht="15.75" customHeight="1">
      <c r="E88" s="48"/>
    </row>
    <row r="89" ht="15.75" customHeight="1">
      <c r="E89" s="48"/>
    </row>
    <row r="90" ht="15.75" customHeight="1">
      <c r="E90" s="48"/>
    </row>
    <row r="91" ht="15.75" customHeight="1">
      <c r="E91" s="48"/>
    </row>
    <row r="92" ht="15.75" customHeight="1">
      <c r="E92" s="48"/>
    </row>
    <row r="93" ht="15.75" customHeight="1">
      <c r="E93" s="48"/>
    </row>
    <row r="94" ht="15.75" customHeight="1">
      <c r="E94" s="48"/>
    </row>
    <row r="95" ht="15.75" customHeight="1">
      <c r="E95" s="48"/>
    </row>
    <row r="96" ht="15.75" customHeight="1">
      <c r="E96" s="48"/>
    </row>
    <row r="97" ht="15.75" customHeight="1">
      <c r="E97" s="48"/>
    </row>
    <row r="98" ht="15.75" customHeight="1">
      <c r="E98" s="48"/>
    </row>
    <row r="99" ht="15.75" customHeight="1">
      <c r="E99" s="48"/>
    </row>
    <row r="100" ht="15.75" customHeight="1">
      <c r="E100" s="48"/>
    </row>
    <row r="101" ht="15.75" customHeight="1">
      <c r="E101" s="48"/>
    </row>
    <row r="102" ht="15.75" customHeight="1">
      <c r="E102" s="48"/>
    </row>
    <row r="103" ht="15.75" customHeight="1">
      <c r="E103" s="48"/>
    </row>
    <row r="104" ht="15.75" customHeight="1">
      <c r="E104" s="48"/>
    </row>
    <row r="105" ht="15.75" customHeight="1">
      <c r="E105" s="48"/>
    </row>
    <row r="106" ht="15.75" customHeight="1">
      <c r="E106" s="48"/>
    </row>
    <row r="107" ht="15.75" customHeight="1">
      <c r="E107" s="48"/>
    </row>
    <row r="108" ht="15.75" customHeight="1">
      <c r="E108" s="48"/>
    </row>
    <row r="109" ht="15.75" customHeight="1">
      <c r="E109" s="48"/>
    </row>
    <row r="110" ht="15.75" customHeight="1">
      <c r="E110" s="48"/>
    </row>
    <row r="111" ht="15.75" customHeight="1">
      <c r="E111" s="48"/>
    </row>
    <row r="112" ht="15.75" customHeight="1">
      <c r="E112" s="48"/>
    </row>
    <row r="113" ht="15.75" customHeight="1">
      <c r="E113" s="48"/>
    </row>
    <row r="114" ht="15.75" customHeight="1">
      <c r="E114" s="48"/>
    </row>
    <row r="115" ht="15.75" customHeight="1">
      <c r="E115" s="48"/>
    </row>
    <row r="116" ht="15.75" customHeight="1">
      <c r="E116" s="48"/>
    </row>
    <row r="117" ht="15.75" customHeight="1">
      <c r="E117" s="48"/>
    </row>
    <row r="118" ht="15.75" customHeight="1">
      <c r="E118" s="48"/>
    </row>
    <row r="119" ht="15.75" customHeight="1">
      <c r="E119" s="48"/>
    </row>
    <row r="120" ht="15.75" customHeight="1">
      <c r="E120" s="48"/>
    </row>
    <row r="121" ht="15.75" customHeight="1">
      <c r="E121" s="48"/>
    </row>
    <row r="122" ht="15.75" customHeight="1">
      <c r="E122" s="48"/>
    </row>
    <row r="123" ht="15.75" customHeight="1">
      <c r="E123" s="48"/>
    </row>
    <row r="124" ht="15.75" customHeight="1">
      <c r="E124" s="48"/>
    </row>
    <row r="125" ht="15.75" customHeight="1">
      <c r="E125" s="48"/>
    </row>
    <row r="126" ht="15.75" customHeight="1">
      <c r="E126" s="48"/>
    </row>
    <row r="127" ht="15.75" customHeight="1">
      <c r="E127" s="48"/>
    </row>
    <row r="128" ht="15.75" customHeight="1">
      <c r="E128" s="48"/>
    </row>
    <row r="129" ht="15.75" customHeight="1">
      <c r="E129" s="48"/>
    </row>
    <row r="130" ht="15.75" customHeight="1">
      <c r="E130" s="48"/>
    </row>
    <row r="131" ht="15.75" customHeight="1">
      <c r="E131" s="48"/>
    </row>
    <row r="132" ht="15.75" customHeight="1">
      <c r="E132" s="48"/>
    </row>
    <row r="133" ht="15.75" customHeight="1">
      <c r="E133" s="48"/>
    </row>
    <row r="134" ht="15.75" customHeight="1">
      <c r="E134" s="48"/>
    </row>
    <row r="135" ht="15.75" customHeight="1">
      <c r="E135" s="48"/>
    </row>
    <row r="136" ht="15.75" customHeight="1">
      <c r="E136" s="48"/>
    </row>
    <row r="137" ht="15.75" customHeight="1">
      <c r="E137" s="48"/>
    </row>
    <row r="138" ht="15.75" customHeight="1">
      <c r="E138" s="48"/>
    </row>
    <row r="139" ht="15.75" customHeight="1">
      <c r="E139" s="48"/>
    </row>
    <row r="140" ht="15.75" customHeight="1">
      <c r="E140" s="48"/>
    </row>
    <row r="141" ht="15.75" customHeight="1">
      <c r="E141" s="48"/>
    </row>
    <row r="142" ht="15.75" customHeight="1">
      <c r="E142" s="48"/>
    </row>
    <row r="143" ht="15.75" customHeight="1">
      <c r="E143" s="48"/>
    </row>
    <row r="144" ht="15.75" customHeight="1">
      <c r="E144" s="48"/>
    </row>
    <row r="145" ht="15.75" customHeight="1">
      <c r="E145" s="48"/>
    </row>
    <row r="146" ht="15.75" customHeight="1">
      <c r="E146" s="48"/>
    </row>
    <row r="147" ht="15.75" customHeight="1">
      <c r="E147" s="48"/>
    </row>
    <row r="148" ht="15.75" customHeight="1">
      <c r="E148" s="48"/>
    </row>
    <row r="149" ht="15.75" customHeight="1">
      <c r="E149" s="48"/>
    </row>
    <row r="150" ht="15.75" customHeight="1">
      <c r="E150" s="48"/>
    </row>
    <row r="151" ht="15.75" customHeight="1">
      <c r="E151" s="48"/>
    </row>
    <row r="152" ht="15.75" customHeight="1">
      <c r="E152" s="48"/>
    </row>
    <row r="153" ht="15.75" customHeight="1">
      <c r="E153" s="48"/>
    </row>
    <row r="154" ht="15.75" customHeight="1">
      <c r="E154" s="48"/>
    </row>
    <row r="155" ht="15.75" customHeight="1">
      <c r="E155" s="48"/>
    </row>
    <row r="156" ht="15.75" customHeight="1">
      <c r="E156" s="48"/>
    </row>
    <row r="157" ht="15.75" customHeight="1">
      <c r="E157" s="48"/>
    </row>
    <row r="158" ht="15.75" customHeight="1">
      <c r="E158" s="48"/>
    </row>
    <row r="159" ht="15.75" customHeight="1">
      <c r="E159" s="48"/>
    </row>
    <row r="160" ht="15.75" customHeight="1">
      <c r="E160" s="48"/>
    </row>
    <row r="161" ht="15.75" customHeight="1">
      <c r="E161" s="48"/>
    </row>
    <row r="162" ht="15.75" customHeight="1">
      <c r="E162" s="48"/>
    </row>
    <row r="163" ht="15.75" customHeight="1">
      <c r="E163" s="48"/>
    </row>
    <row r="164" ht="15.75" customHeight="1">
      <c r="E164" s="48"/>
    </row>
    <row r="165" ht="15.75" customHeight="1">
      <c r="E165" s="48"/>
    </row>
    <row r="166" ht="15.75" customHeight="1">
      <c r="E166" s="48"/>
    </row>
    <row r="167" ht="15.75" customHeight="1">
      <c r="E167" s="48"/>
    </row>
    <row r="168" ht="15.75" customHeight="1">
      <c r="E168" s="48"/>
    </row>
    <row r="169" ht="15.75" customHeight="1">
      <c r="E169" s="48"/>
    </row>
    <row r="170" ht="15.75" customHeight="1">
      <c r="E170" s="48"/>
    </row>
    <row r="171" ht="15.75" customHeight="1">
      <c r="E171" s="48"/>
    </row>
    <row r="172" ht="15.75" customHeight="1">
      <c r="E172" s="48"/>
    </row>
    <row r="173" ht="15.75" customHeight="1">
      <c r="E173" s="48"/>
    </row>
    <row r="174" ht="15.75" customHeight="1">
      <c r="E174" s="48"/>
    </row>
    <row r="175" ht="15.75" customHeight="1">
      <c r="E175" s="48"/>
    </row>
    <row r="176" ht="15.75" customHeight="1">
      <c r="E176" s="48"/>
    </row>
    <row r="177" ht="15.75" customHeight="1">
      <c r="E177" s="48"/>
    </row>
    <row r="178" ht="15.75" customHeight="1">
      <c r="E178" s="48"/>
    </row>
    <row r="179" ht="15.75" customHeight="1">
      <c r="E179" s="48"/>
    </row>
    <row r="180" ht="15.75" customHeight="1">
      <c r="E180" s="48"/>
    </row>
    <row r="181" ht="15.75" customHeight="1">
      <c r="E181" s="48"/>
    </row>
    <row r="182" ht="15.75" customHeight="1">
      <c r="E182" s="48"/>
    </row>
    <row r="183" ht="15.75" customHeight="1">
      <c r="E183" s="48"/>
    </row>
    <row r="184" ht="15.75" customHeight="1">
      <c r="E184" s="48"/>
    </row>
    <row r="185" ht="15.75" customHeight="1">
      <c r="E185" s="48"/>
    </row>
    <row r="186" ht="15.75" customHeight="1">
      <c r="E186" s="48"/>
    </row>
    <row r="187" ht="15.75" customHeight="1">
      <c r="E187" s="48"/>
    </row>
    <row r="188" ht="15.75" customHeight="1">
      <c r="E188" s="48"/>
    </row>
    <row r="189" ht="15.75" customHeight="1">
      <c r="E189" s="48"/>
    </row>
    <row r="190" ht="15.75" customHeight="1">
      <c r="E190" s="48"/>
    </row>
    <row r="191" ht="15.75" customHeight="1">
      <c r="E191" s="48"/>
    </row>
    <row r="192" ht="15.75" customHeight="1">
      <c r="E192" s="48"/>
    </row>
    <row r="193" ht="15.75" customHeight="1">
      <c r="E193" s="48"/>
    </row>
    <row r="194" ht="15.75" customHeight="1">
      <c r="E194" s="48"/>
    </row>
    <row r="195" ht="15.75" customHeight="1">
      <c r="E195" s="48"/>
    </row>
    <row r="196" ht="15.75" customHeight="1">
      <c r="E196" s="48"/>
    </row>
    <row r="197" ht="15.75" customHeight="1">
      <c r="E197" s="48"/>
    </row>
    <row r="198" ht="15.75" customHeight="1">
      <c r="E198" s="48"/>
    </row>
    <row r="199" ht="15.75" customHeight="1">
      <c r="E199" s="48"/>
    </row>
    <row r="200" ht="15.75" customHeight="1">
      <c r="E200" s="48"/>
    </row>
    <row r="201" ht="15.75" customHeight="1">
      <c r="E201" s="48"/>
    </row>
    <row r="202" ht="15.75" customHeight="1">
      <c r="E202" s="48"/>
    </row>
    <row r="203" ht="15.75" customHeight="1">
      <c r="E203" s="48"/>
    </row>
    <row r="204" ht="15.75" customHeight="1">
      <c r="E204" s="48"/>
    </row>
    <row r="205" ht="15.75" customHeight="1">
      <c r="E205" s="48"/>
    </row>
    <row r="206" ht="15.75" customHeight="1">
      <c r="E206" s="48"/>
    </row>
    <row r="207" ht="15.75" customHeight="1">
      <c r="E207" s="48"/>
    </row>
    <row r="208" ht="15.75" customHeight="1">
      <c r="E208" s="48"/>
    </row>
    <row r="209" ht="15.75" customHeight="1">
      <c r="E209" s="48"/>
    </row>
    <row r="210" ht="15.75" customHeight="1">
      <c r="E210" s="48"/>
    </row>
    <row r="211" ht="15.75" customHeight="1">
      <c r="E211" s="48"/>
    </row>
    <row r="212" ht="15.75" customHeight="1">
      <c r="E212" s="48"/>
    </row>
    <row r="213" ht="15.75" customHeight="1">
      <c r="E213" s="48"/>
    </row>
    <row r="214" ht="15.75" customHeight="1">
      <c r="E214" s="48"/>
    </row>
    <row r="215" ht="15.75" customHeight="1">
      <c r="E215" s="48"/>
    </row>
    <row r="216" ht="15.75" customHeight="1">
      <c r="E216" s="48"/>
    </row>
    <row r="217" ht="15.75" customHeight="1">
      <c r="E217" s="48"/>
    </row>
    <row r="218" ht="15.75" customHeight="1">
      <c r="E218" s="48"/>
    </row>
    <row r="219" ht="15.75" customHeight="1">
      <c r="E219" s="48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custom" allowBlank="1" showDropDown="1" sqref="B2:B15 E2:E1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2" max="2" width="24.5"/>
    <col customWidth="1" min="3" max="3" width="15.75"/>
    <col customWidth="1" min="4" max="4" width="13.13"/>
    <col customWidth="1" min="5" max="5" width="45.25"/>
  </cols>
  <sheetData>
    <row r="1">
      <c r="A1" s="19" t="s">
        <v>206</v>
      </c>
      <c r="B1" s="74" t="s">
        <v>6</v>
      </c>
      <c r="C1" s="20" t="s">
        <v>207</v>
      </c>
      <c r="D1" s="19" t="s">
        <v>3</v>
      </c>
      <c r="E1" s="19" t="s">
        <v>208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ht="22.5" customHeight="1">
      <c r="A2" s="23" t="s">
        <v>209</v>
      </c>
      <c r="B2" s="13">
        <v>0.0911</v>
      </c>
      <c r="C2" s="75">
        <v>0.0937</v>
      </c>
      <c r="D2" s="76">
        <f t="shared" ref="D2:D5" si="1">(B2-C2)/C2</f>
        <v>-0.02774813234</v>
      </c>
      <c r="E2" s="15" t="s">
        <v>210</v>
      </c>
    </row>
    <row r="3" ht="22.5" customHeight="1">
      <c r="A3" s="23" t="s">
        <v>211</v>
      </c>
      <c r="B3" s="13">
        <v>1.3267</v>
      </c>
      <c r="C3" s="75">
        <v>1.3483</v>
      </c>
      <c r="D3" s="76">
        <f t="shared" si="1"/>
        <v>-0.01602017355</v>
      </c>
      <c r="E3" s="15" t="s">
        <v>212</v>
      </c>
    </row>
    <row r="4" ht="22.5" customHeight="1">
      <c r="A4" s="23" t="s">
        <v>213</v>
      </c>
      <c r="B4" s="13">
        <v>0.0062</v>
      </c>
      <c r="C4" s="77">
        <v>0.0063</v>
      </c>
      <c r="D4" s="76">
        <f t="shared" si="1"/>
        <v>-0.01587301587</v>
      </c>
      <c r="E4" s="15" t="s">
        <v>214</v>
      </c>
    </row>
    <row r="5" ht="22.5" customHeight="1">
      <c r="A5" s="23" t="s">
        <v>215</v>
      </c>
      <c r="B5" s="13">
        <v>1.1544</v>
      </c>
      <c r="C5" s="78">
        <v>1.1459</v>
      </c>
      <c r="D5" s="76">
        <f t="shared" si="1"/>
        <v>0.00741775024</v>
      </c>
      <c r="E5" s="15" t="s">
        <v>216</v>
      </c>
    </row>
    <row r="6" ht="15.75" customHeight="1"/>
    <row r="7" ht="15.75" customHeight="1"/>
    <row r="8" ht="15.75" customHeight="1"/>
    <row r="9" ht="15.75" customHeight="1">
      <c r="A9" s="4" t="s">
        <v>217</v>
      </c>
      <c r="B9" s="1" t="s">
        <v>218</v>
      </c>
      <c r="C9" s="4" t="s">
        <v>219</v>
      </c>
      <c r="D9" s="4" t="s">
        <v>220</v>
      </c>
      <c r="E9" s="4" t="s">
        <v>208</v>
      </c>
    </row>
    <row r="10" ht="15.75" customHeight="1">
      <c r="A10" s="36" t="s">
        <v>209</v>
      </c>
      <c r="B10" s="79">
        <v>-0.0277</v>
      </c>
      <c r="C10" s="36" t="s">
        <v>221</v>
      </c>
      <c r="D10" s="36" t="s">
        <v>222</v>
      </c>
      <c r="E10" s="36" t="s">
        <v>210</v>
      </c>
    </row>
    <row r="11" ht="15.75" customHeight="1">
      <c r="A11" s="36" t="s">
        <v>211</v>
      </c>
      <c r="B11" s="79">
        <v>-0.016</v>
      </c>
      <c r="C11" s="36" t="s">
        <v>221</v>
      </c>
      <c r="D11" s="36" t="s">
        <v>222</v>
      </c>
      <c r="E11" s="36" t="s">
        <v>212</v>
      </c>
    </row>
    <row r="12" ht="15.75" customHeight="1">
      <c r="A12" s="36" t="s">
        <v>213</v>
      </c>
      <c r="B12" s="80">
        <v>-0.0095</v>
      </c>
      <c r="C12" s="36" t="s">
        <v>221</v>
      </c>
      <c r="D12" s="36" t="s">
        <v>222</v>
      </c>
      <c r="E12" s="36" t="s">
        <v>214</v>
      </c>
    </row>
    <row r="13" ht="15.75" customHeight="1">
      <c r="A13" s="36" t="s">
        <v>215</v>
      </c>
      <c r="B13" s="81">
        <v>0.0074</v>
      </c>
      <c r="C13" s="36" t="s">
        <v>223</v>
      </c>
      <c r="D13" s="36" t="s">
        <v>224</v>
      </c>
      <c r="E13" s="36" t="s">
        <v>216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custom" allowBlank="1" showDropDown="1" sqref="B10:B13">
      <formula1>AND(ISNUMBER(B10),(NOT(OR(NOT(ISERROR(DATEVALUE(B10))), AND(ISNUMBER(B10), LEFT(CELL("format", B10))="D")))))</formula1>
    </dataValidation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5"/>
    <col customWidth="1" min="2" max="2" width="20.63"/>
    <col customWidth="1" min="3" max="3" width="22.63"/>
    <col customWidth="1" min="4" max="4" width="17.63"/>
    <col customWidth="1" min="5" max="5" width="18.13"/>
  </cols>
  <sheetData>
    <row r="1" ht="22.5" customHeight="1">
      <c r="A1" s="1" t="s">
        <v>225</v>
      </c>
      <c r="B1" s="19" t="s">
        <v>226</v>
      </c>
      <c r="C1" s="20" t="s">
        <v>227</v>
      </c>
      <c r="D1" s="19" t="s">
        <v>228</v>
      </c>
      <c r="E1" s="20" t="s">
        <v>229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22.5" customHeight="1">
      <c r="A2" s="23" t="s">
        <v>16</v>
      </c>
      <c r="B2" s="82">
        <v>0.0397</v>
      </c>
      <c r="C2" s="23"/>
      <c r="D2" s="82">
        <v>0.0444</v>
      </c>
      <c r="E2" s="23"/>
    </row>
    <row r="3" ht="22.5" customHeight="1">
      <c r="A3" s="23" t="s">
        <v>10</v>
      </c>
      <c r="B3" s="82">
        <v>0.1164</v>
      </c>
      <c r="C3" s="83">
        <f t="shared" ref="C3:C7" si="1">(B3-$B$107)*10000</f>
        <v>1164</v>
      </c>
      <c r="D3" s="82">
        <v>0.107</v>
      </c>
      <c r="E3" s="50">
        <f t="shared" ref="E3:E7" si="2">(D3-$D$107)*10000</f>
        <v>1070</v>
      </c>
    </row>
    <row r="4" ht="22.5" customHeight="1">
      <c r="A4" s="23" t="s">
        <v>230</v>
      </c>
      <c r="B4" s="82">
        <v>0.0751</v>
      </c>
      <c r="C4" s="50">
        <f t="shared" si="1"/>
        <v>751</v>
      </c>
      <c r="D4" s="82">
        <v>0.0816</v>
      </c>
      <c r="E4" s="50">
        <f t="shared" si="2"/>
        <v>816</v>
      </c>
    </row>
    <row r="5" ht="22.5" customHeight="1">
      <c r="A5" s="23" t="s">
        <v>34</v>
      </c>
      <c r="B5" s="82">
        <v>0.0814</v>
      </c>
      <c r="C5" s="50">
        <f t="shared" si="1"/>
        <v>814</v>
      </c>
      <c r="D5" s="82">
        <v>0.0919</v>
      </c>
      <c r="E5" s="50">
        <f t="shared" si="2"/>
        <v>919</v>
      </c>
    </row>
    <row r="6" ht="22.5" customHeight="1">
      <c r="A6" s="23" t="s">
        <v>231</v>
      </c>
      <c r="B6" s="82">
        <v>0.132</v>
      </c>
      <c r="C6" s="50">
        <f t="shared" si="1"/>
        <v>1320</v>
      </c>
      <c r="D6" s="82">
        <v>0.1335</v>
      </c>
      <c r="E6" s="50">
        <f t="shared" si="2"/>
        <v>1335</v>
      </c>
    </row>
    <row r="7" ht="22.5" customHeight="1">
      <c r="A7" s="23" t="s">
        <v>232</v>
      </c>
      <c r="B7" s="82">
        <v>0.0915</v>
      </c>
      <c r="C7" s="50">
        <f t="shared" si="1"/>
        <v>915</v>
      </c>
      <c r="D7" s="82">
        <v>0.0958</v>
      </c>
      <c r="E7" s="50">
        <f t="shared" si="2"/>
        <v>958</v>
      </c>
    </row>
    <row r="8" ht="15.75" customHeight="1">
      <c r="A8" s="46"/>
      <c r="B8" s="46"/>
      <c r="C8" s="46"/>
      <c r="D8" s="46"/>
      <c r="E8" s="46"/>
    </row>
    <row r="9" ht="15.75" customHeight="1">
      <c r="A9" s="46"/>
      <c r="B9" s="46"/>
      <c r="C9" s="46"/>
      <c r="D9" s="46"/>
      <c r="E9" s="46"/>
    </row>
    <row r="10" ht="15.75" customHeight="1">
      <c r="A10" s="4" t="s">
        <v>1</v>
      </c>
      <c r="B10" s="4" t="s">
        <v>227</v>
      </c>
      <c r="C10" s="4" t="s">
        <v>229</v>
      </c>
      <c r="D10" s="4" t="s">
        <v>233</v>
      </c>
      <c r="E10" s="4" t="s">
        <v>220</v>
      </c>
    </row>
    <row r="11" ht="15.75" customHeight="1">
      <c r="A11" s="36" t="s">
        <v>10</v>
      </c>
      <c r="B11" s="36">
        <v>1164.0</v>
      </c>
      <c r="C11" s="36">
        <v>1070.0</v>
      </c>
      <c r="D11" s="36">
        <v>-94.0</v>
      </c>
      <c r="E11" s="36" t="s">
        <v>234</v>
      </c>
    </row>
    <row r="12" ht="15.75" customHeight="1">
      <c r="A12" s="36" t="s">
        <v>230</v>
      </c>
      <c r="B12" s="36">
        <v>751.0</v>
      </c>
      <c r="C12" s="36">
        <v>816.0</v>
      </c>
      <c r="D12" s="36">
        <f>+65</f>
        <v>65</v>
      </c>
      <c r="E12" s="36" t="s">
        <v>235</v>
      </c>
    </row>
    <row r="13" ht="15.75" customHeight="1">
      <c r="A13" s="36" t="s">
        <v>34</v>
      </c>
      <c r="B13" s="36">
        <v>814.0</v>
      </c>
      <c r="C13" s="36">
        <v>919.0</v>
      </c>
      <c r="D13" s="36">
        <f>+105</f>
        <v>105</v>
      </c>
      <c r="E13" s="36" t="s">
        <v>235</v>
      </c>
    </row>
    <row r="14" ht="15.75" customHeight="1">
      <c r="A14" s="36" t="s">
        <v>231</v>
      </c>
      <c r="B14" s="36">
        <v>1320.0</v>
      </c>
      <c r="C14" s="36">
        <v>1335.0</v>
      </c>
      <c r="D14" s="36">
        <f>+15</f>
        <v>15</v>
      </c>
      <c r="E14" s="36" t="s">
        <v>235</v>
      </c>
    </row>
    <row r="15" ht="15.75" customHeight="1">
      <c r="A15" s="36" t="s">
        <v>232</v>
      </c>
      <c r="B15" s="36">
        <v>915.0</v>
      </c>
      <c r="C15" s="36">
        <v>958.0</v>
      </c>
      <c r="D15" s="36">
        <f>+43</f>
        <v>43</v>
      </c>
      <c r="E15" s="36" t="s">
        <v>235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custom" allowBlank="1" showDropDown="1" sqref="B2:B7 D2:D7">
      <formula1>AND(ISNUMBER(B2),(NOT(OR(NOT(ISERROR(DATEVALUE(B2))), AND(ISNUMBER(B2), LEFT(CELL("format", B2))="D")))))</formula1>
    </dataValidation>
  </dataValidation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38"/>
    <col customWidth="1" min="2" max="2" width="22.0"/>
    <col customWidth="1" min="3" max="3" width="16.25"/>
    <col customWidth="1" min="4" max="4" width="30.88"/>
    <col customWidth="1" min="5" max="6" width="16.13"/>
  </cols>
  <sheetData>
    <row r="1">
      <c r="A1" s="49" t="s">
        <v>236</v>
      </c>
      <c r="B1" s="1" t="s">
        <v>237</v>
      </c>
      <c r="C1" s="20" t="s">
        <v>238</v>
      </c>
      <c r="D1" s="20" t="s">
        <v>239</v>
      </c>
      <c r="E1" s="49" t="s">
        <v>240</v>
      </c>
      <c r="F1" s="19" t="s">
        <v>3</v>
      </c>
      <c r="G1" s="46"/>
    </row>
    <row r="2" ht="22.5" customHeight="1">
      <c r="A2" s="20" t="s">
        <v>241</v>
      </c>
      <c r="B2" s="84"/>
      <c r="C2" s="20" t="s">
        <v>242</v>
      </c>
      <c r="D2" s="85" t="s">
        <v>243</v>
      </c>
      <c r="E2" s="20" t="s">
        <v>242</v>
      </c>
      <c r="F2" s="86"/>
      <c r="G2" s="87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 ht="22.5" customHeight="1">
      <c r="A3" s="23" t="s">
        <v>244</v>
      </c>
      <c r="B3" s="79"/>
      <c r="C3" s="76"/>
      <c r="D3" s="89" t="s">
        <v>245</v>
      </c>
      <c r="E3" s="90">
        <v>4400.0</v>
      </c>
      <c r="F3" s="89"/>
      <c r="G3" s="46"/>
    </row>
    <row r="4" ht="22.5" customHeight="1">
      <c r="A4" s="23" t="s">
        <v>246</v>
      </c>
      <c r="B4" s="79">
        <v>0.048117</v>
      </c>
      <c r="C4" s="76">
        <v>99.2237</v>
      </c>
      <c r="D4" s="89">
        <v>0.0532</v>
      </c>
      <c r="E4" s="76">
        <v>99.9039</v>
      </c>
      <c r="F4" s="89">
        <f t="shared" ref="F4:F15" si="1">B4-D4</f>
        <v>-0.005083</v>
      </c>
      <c r="G4" s="46"/>
    </row>
    <row r="5" ht="22.5" customHeight="1">
      <c r="A5" s="23" t="s">
        <v>247</v>
      </c>
      <c r="B5" s="79">
        <v>0.066214</v>
      </c>
      <c r="C5" s="76">
        <v>97.0439</v>
      </c>
      <c r="D5" s="89">
        <v>0.0698</v>
      </c>
      <c r="E5" s="76">
        <v>99.9692</v>
      </c>
      <c r="F5" s="89">
        <f t="shared" si="1"/>
        <v>-0.003586</v>
      </c>
      <c r="G5" s="46"/>
    </row>
    <row r="6" ht="22.5" customHeight="1">
      <c r="A6" s="23" t="s">
        <v>248</v>
      </c>
      <c r="B6" s="79">
        <v>0.097741</v>
      </c>
      <c r="C6" s="76">
        <v>92.9431</v>
      </c>
      <c r="D6" s="89">
        <v>0.0976</v>
      </c>
      <c r="E6" s="76">
        <v>91.8314</v>
      </c>
      <c r="F6" s="89">
        <f t="shared" si="1"/>
        <v>0.000141</v>
      </c>
      <c r="G6" s="46"/>
    </row>
    <row r="7" ht="22.5" customHeight="1">
      <c r="A7" s="23" t="s">
        <v>249</v>
      </c>
      <c r="B7" s="79">
        <v>0.1075</v>
      </c>
      <c r="C7" s="76">
        <v>99.0343</v>
      </c>
      <c r="D7" s="89">
        <v>0.1013</v>
      </c>
      <c r="E7" s="76">
        <v>97.137</v>
      </c>
      <c r="F7" s="89">
        <f t="shared" si="1"/>
        <v>0.0062</v>
      </c>
      <c r="G7" s="46"/>
    </row>
    <row r="8" ht="22.5" customHeight="1">
      <c r="A8" s="23" t="s">
        <v>250</v>
      </c>
      <c r="B8" s="79">
        <v>0.1075</v>
      </c>
      <c r="C8" s="76">
        <v>99.0343</v>
      </c>
      <c r="D8" s="89">
        <v>0.1013</v>
      </c>
      <c r="E8" s="76">
        <v>97.137</v>
      </c>
      <c r="F8" s="89">
        <f t="shared" si="1"/>
        <v>0.0062</v>
      </c>
      <c r="G8" s="46"/>
    </row>
    <row r="9" ht="22.5" customHeight="1">
      <c r="A9" s="23" t="s">
        <v>251</v>
      </c>
      <c r="B9" s="79">
        <v>0.115</v>
      </c>
      <c r="C9" s="76">
        <v>96.9093</v>
      </c>
      <c r="D9" s="89">
        <v>0.1135</v>
      </c>
      <c r="E9" s="76">
        <v>93.3399</v>
      </c>
      <c r="F9" s="89">
        <f t="shared" si="1"/>
        <v>0.0015</v>
      </c>
      <c r="G9" s="46"/>
    </row>
    <row r="10" ht="22.5" customHeight="1">
      <c r="A10" s="23" t="s">
        <v>252</v>
      </c>
      <c r="B10" s="79">
        <v>0.176613</v>
      </c>
      <c r="C10" s="76">
        <v>100.1077</v>
      </c>
      <c r="D10" s="89">
        <v>0.1288</v>
      </c>
      <c r="E10" s="76">
        <v>85.8944</v>
      </c>
      <c r="F10" s="89">
        <f t="shared" si="1"/>
        <v>0.047813</v>
      </c>
      <c r="G10" s="46"/>
    </row>
    <row r="11" ht="22.5" customHeight="1">
      <c r="A11" s="23" t="s">
        <v>253</v>
      </c>
      <c r="B11" s="79">
        <v>0.324984</v>
      </c>
      <c r="C11" s="76">
        <v>96.0893</v>
      </c>
      <c r="D11" s="89">
        <v>0.1462</v>
      </c>
      <c r="E11" s="76">
        <v>78.5016</v>
      </c>
      <c r="F11" s="89">
        <f t="shared" si="1"/>
        <v>0.178784</v>
      </c>
      <c r="G11" s="46"/>
    </row>
    <row r="12" ht="22.5" customHeight="1">
      <c r="A12" s="23" t="s">
        <v>254</v>
      </c>
      <c r="B12" s="79">
        <v>0.20144</v>
      </c>
      <c r="C12" s="76">
        <v>99.766</v>
      </c>
      <c r="D12" s="89">
        <v>0.1312</v>
      </c>
      <c r="E12" s="76">
        <v>82.6137</v>
      </c>
      <c r="F12" s="89">
        <f t="shared" si="1"/>
        <v>0.07024</v>
      </c>
      <c r="G12" s="46"/>
    </row>
    <row r="13" ht="22.5" customHeight="1">
      <c r="A13" s="23" t="s">
        <v>255</v>
      </c>
      <c r="B13" s="79">
        <v>0.104316</v>
      </c>
      <c r="C13" s="76">
        <v>104.9058</v>
      </c>
      <c r="D13" s="89">
        <v>0.1308</v>
      </c>
      <c r="E13" s="76">
        <v>81.439</v>
      </c>
      <c r="F13" s="89">
        <f t="shared" si="1"/>
        <v>-0.026484</v>
      </c>
      <c r="G13" s="46"/>
    </row>
    <row r="14" ht="22.5" customHeight="1">
      <c r="A14" s="23" t="s">
        <v>256</v>
      </c>
      <c r="B14" s="79">
        <v>0.124</v>
      </c>
      <c r="C14" s="76">
        <v>85.236</v>
      </c>
      <c r="D14" s="89">
        <v>0.1381</v>
      </c>
      <c r="E14" s="76">
        <v>78.0005</v>
      </c>
      <c r="F14" s="89">
        <f t="shared" si="1"/>
        <v>-0.0141</v>
      </c>
      <c r="G14" s="46"/>
    </row>
    <row r="15" ht="22.5" customHeight="1">
      <c r="A15" s="23" t="s">
        <v>257</v>
      </c>
      <c r="B15" s="79">
        <v>0.213467</v>
      </c>
      <c r="C15" s="76">
        <v>94.839</v>
      </c>
      <c r="D15" s="89">
        <v>0.2135</v>
      </c>
      <c r="E15" s="76">
        <v>94.839</v>
      </c>
      <c r="F15" s="89">
        <f t="shared" si="1"/>
        <v>-0.000033</v>
      </c>
      <c r="G15" s="91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2:B15 D2:D15 F2:F1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9.13"/>
    <col customWidth="1" min="2" max="2" width="28.13"/>
  </cols>
  <sheetData>
    <row r="1" ht="22.5" customHeight="1">
      <c r="A1" s="92" t="s">
        <v>258</v>
      </c>
      <c r="B1" s="92" t="s">
        <v>259</v>
      </c>
    </row>
    <row r="2" ht="22.5" customHeight="1">
      <c r="A2" s="93" t="s">
        <v>260</v>
      </c>
      <c r="B2" s="93" t="s">
        <v>261</v>
      </c>
    </row>
    <row r="3" ht="22.5" customHeight="1">
      <c r="A3" s="93" t="s">
        <v>262</v>
      </c>
      <c r="B3" s="93" t="s">
        <v>263</v>
      </c>
    </row>
    <row r="4" ht="22.5" customHeight="1">
      <c r="A4" s="93" t="s">
        <v>264</v>
      </c>
      <c r="B4" s="93" t="s">
        <v>265</v>
      </c>
    </row>
    <row r="5" ht="22.5" customHeight="1">
      <c r="A5" s="93" t="s">
        <v>266</v>
      </c>
      <c r="B5" s="93" t="s">
        <v>267</v>
      </c>
    </row>
    <row r="6" ht="22.5" customHeight="1">
      <c r="A6" s="93" t="s">
        <v>268</v>
      </c>
      <c r="B6" s="93" t="s">
        <v>269</v>
      </c>
    </row>
    <row r="7" ht="22.5" customHeight="1">
      <c r="A7" s="93" t="s">
        <v>270</v>
      </c>
      <c r="B7" s="93" t="s">
        <v>271</v>
      </c>
    </row>
    <row r="8" ht="22.5" customHeight="1">
      <c r="A8" s="93" t="s">
        <v>272</v>
      </c>
      <c r="B8" s="93" t="s">
        <v>273</v>
      </c>
    </row>
    <row r="9" ht="22.5" customHeight="1">
      <c r="A9" s="93" t="s">
        <v>274</v>
      </c>
      <c r="B9" s="93" t="s">
        <v>275</v>
      </c>
    </row>
    <row r="10" ht="22.5" customHeight="1">
      <c r="A10" s="93" t="s">
        <v>276</v>
      </c>
      <c r="B10" s="93" t="s">
        <v>277</v>
      </c>
    </row>
    <row r="11" ht="22.5" customHeight="1">
      <c r="A11" s="93" t="s">
        <v>278</v>
      </c>
      <c r="B11" s="93" t="s">
        <v>279</v>
      </c>
    </row>
    <row r="12" ht="22.5" customHeight="1">
      <c r="A12" s="93" t="s">
        <v>280</v>
      </c>
      <c r="B12" s="93" t="s">
        <v>281</v>
      </c>
    </row>
    <row r="13" ht="22.5" customHeight="1">
      <c r="A13" s="93" t="s">
        <v>282</v>
      </c>
      <c r="B13" s="93" t="s">
        <v>283</v>
      </c>
    </row>
    <row r="14" ht="22.5" customHeight="1">
      <c r="A14" s="93" t="s">
        <v>284</v>
      </c>
      <c r="B14" s="93" t="s">
        <v>285</v>
      </c>
    </row>
    <row r="15" ht="22.5" customHeight="1">
      <c r="A15" s="93" t="s">
        <v>286</v>
      </c>
      <c r="B15" s="93" t="s">
        <v>287</v>
      </c>
    </row>
    <row r="16" ht="22.5" customHeight="1">
      <c r="A16" s="93" t="s">
        <v>288</v>
      </c>
      <c r="B16" s="93" t="s">
        <v>289</v>
      </c>
    </row>
    <row r="17" ht="22.5" customHeight="1">
      <c r="A17" s="93" t="s">
        <v>290</v>
      </c>
      <c r="B17" s="93" t="s">
        <v>291</v>
      </c>
    </row>
    <row r="18" ht="22.5" customHeight="1">
      <c r="A18" s="93" t="s">
        <v>292</v>
      </c>
      <c r="B18" s="93" t="s">
        <v>293</v>
      </c>
    </row>
    <row r="19" ht="22.5" customHeight="1">
      <c r="A19" s="93" t="s">
        <v>294</v>
      </c>
      <c r="B19" s="93" t="s">
        <v>295</v>
      </c>
    </row>
    <row r="20" ht="22.5" customHeight="1">
      <c r="A20" s="93" t="s">
        <v>296</v>
      </c>
      <c r="B20" s="93" t="s">
        <v>297</v>
      </c>
    </row>
    <row r="21" ht="22.5" customHeight="1">
      <c r="A21" s="93" t="s">
        <v>298</v>
      </c>
      <c r="B21" s="93" t="s">
        <v>299</v>
      </c>
    </row>
    <row r="22" ht="22.5" customHeight="1">
      <c r="A22" s="93" t="s">
        <v>300</v>
      </c>
      <c r="B22" s="93" t="s">
        <v>301</v>
      </c>
    </row>
    <row r="23" ht="22.5" customHeight="1">
      <c r="A23" s="93" t="s">
        <v>302</v>
      </c>
      <c r="B23" s="93" t="s">
        <v>303</v>
      </c>
    </row>
    <row r="24" ht="22.5" customHeight="1">
      <c r="A24" s="93" t="s">
        <v>304</v>
      </c>
      <c r="B24" s="93" t="s">
        <v>305</v>
      </c>
    </row>
    <row r="25" ht="22.5" customHeight="1">
      <c r="A25" s="94"/>
      <c r="B25" s="93" t="s">
        <v>306</v>
      </c>
    </row>
    <row r="26" ht="22.5" customHeight="1"/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8.13"/>
  </cols>
  <sheetData>
    <row r="1" ht="22.5" customHeight="1">
      <c r="A1" s="92" t="s">
        <v>307</v>
      </c>
    </row>
    <row r="2" ht="22.5" customHeight="1">
      <c r="A2" s="93" t="s">
        <v>308</v>
      </c>
    </row>
    <row r="3" ht="22.5" customHeight="1">
      <c r="A3" s="93" t="s">
        <v>309</v>
      </c>
    </row>
    <row r="4" ht="22.5" customHeight="1">
      <c r="A4" s="93" t="s">
        <v>310</v>
      </c>
    </row>
    <row r="5" ht="22.5" customHeight="1">
      <c r="A5" s="93" t="s">
        <v>311</v>
      </c>
    </row>
    <row r="6" ht="22.5" customHeight="1">
      <c r="A6" s="93" t="s">
        <v>312</v>
      </c>
    </row>
    <row r="7" ht="22.5" customHeight="1">
      <c r="A7" s="93" t="s">
        <v>313</v>
      </c>
    </row>
    <row r="8" ht="22.5" customHeight="1">
      <c r="A8" s="93" t="s">
        <v>314</v>
      </c>
    </row>
    <row r="9" ht="22.5" customHeight="1">
      <c r="A9" s="93" t="s">
        <v>315</v>
      </c>
    </row>
    <row r="10" ht="22.5" customHeight="1">
      <c r="A10" s="93" t="s">
        <v>316</v>
      </c>
    </row>
    <row r="11" ht="22.5" customHeight="1">
      <c r="A11" s="93" t="s">
        <v>317</v>
      </c>
    </row>
    <row r="12" ht="22.5" customHeight="1">
      <c r="A12" s="93" t="s">
        <v>318</v>
      </c>
    </row>
    <row r="13" ht="22.5" customHeight="1">
      <c r="A13" s="93" t="s">
        <v>319</v>
      </c>
    </row>
    <row r="14" ht="22.5" customHeight="1">
      <c r="A14" s="93" t="s">
        <v>320</v>
      </c>
    </row>
    <row r="15" ht="22.5" customHeight="1">
      <c r="A15" s="93" t="s">
        <v>321</v>
      </c>
    </row>
    <row r="16" ht="22.5" customHeight="1">
      <c r="A16" s="93" t="s">
        <v>322</v>
      </c>
    </row>
    <row r="17" ht="22.5" customHeight="1">
      <c r="A17" s="93" t="s">
        <v>323</v>
      </c>
    </row>
    <row r="18" ht="22.5" customHeight="1">
      <c r="A18" s="93" t="s">
        <v>324</v>
      </c>
    </row>
    <row r="19" ht="22.5" customHeight="1">
      <c r="A19" s="93" t="s">
        <v>325</v>
      </c>
    </row>
    <row r="20" ht="22.5" customHeight="1">
      <c r="A20" s="93" t="s">
        <v>326</v>
      </c>
    </row>
    <row r="21" ht="22.5" customHeight="1">
      <c r="A21" s="93" t="s">
        <v>327</v>
      </c>
    </row>
    <row r="22" ht="22.5" customHeight="1">
      <c r="A22" s="93" t="s">
        <v>328</v>
      </c>
    </row>
    <row r="23" ht="22.5" customHeight="1">
      <c r="A23" s="93" t="s">
        <v>329</v>
      </c>
    </row>
    <row r="24" ht="22.5" customHeight="1">
      <c r="A24" s="93" t="s">
        <v>330</v>
      </c>
    </row>
    <row r="25" ht="22.5" customHeight="1">
      <c r="A25" s="93" t="s">
        <v>331</v>
      </c>
    </row>
    <row r="26" ht="22.5" customHeight="1">
      <c r="A26" s="93" t="s">
        <v>332</v>
      </c>
    </row>
    <row r="27" ht="22.5" customHeight="1">
      <c r="A27" s="93" t="s">
        <v>333</v>
      </c>
    </row>
    <row r="28" ht="22.5" customHeight="1">
      <c r="A28" s="93" t="s">
        <v>334</v>
      </c>
    </row>
    <row r="29" ht="22.5" customHeight="1">
      <c r="A29" s="93" t="s">
        <v>335</v>
      </c>
    </row>
    <row r="30" ht="22.5" customHeight="1">
      <c r="A30" s="93" t="s">
        <v>336</v>
      </c>
    </row>
    <row r="31" ht="22.5" customHeight="1">
      <c r="A31" s="93" t="s">
        <v>337</v>
      </c>
    </row>
    <row r="32" ht="22.5" customHeight="1">
      <c r="A32" s="93" t="s">
        <v>338</v>
      </c>
    </row>
    <row r="33" ht="22.5" customHeight="1">
      <c r="A33" s="93" t="s">
        <v>339</v>
      </c>
    </row>
    <row r="34" ht="22.5" customHeight="1">
      <c r="A34" s="93" t="s">
        <v>340</v>
      </c>
    </row>
    <row r="35" ht="22.5" customHeight="1">
      <c r="A35" s="93" t="s">
        <v>341</v>
      </c>
    </row>
    <row r="36" ht="22.5" customHeight="1">
      <c r="A36" s="93" t="s">
        <v>342</v>
      </c>
    </row>
    <row r="37" ht="22.5" customHeight="1">
      <c r="A37" s="93" t="s">
        <v>343</v>
      </c>
    </row>
    <row r="38" ht="22.5" customHeight="1">
      <c r="A38" s="93" t="s">
        <v>344</v>
      </c>
    </row>
    <row r="39" ht="22.5" customHeight="1">
      <c r="A39" s="93" t="s">
        <v>345</v>
      </c>
    </row>
    <row r="40" ht="22.5" customHeight="1">
      <c r="A40" s="93" t="s">
        <v>346</v>
      </c>
    </row>
    <row r="41" ht="22.5" customHeight="1">
      <c r="A41" s="93" t="s">
        <v>347</v>
      </c>
    </row>
    <row r="42" ht="22.5" customHeight="1">
      <c r="A42" s="93" t="s">
        <v>348</v>
      </c>
    </row>
    <row r="43" ht="22.5" customHeight="1">
      <c r="A43" s="93" t="s">
        <v>129</v>
      </c>
    </row>
    <row r="44" ht="22.5" customHeight="1">
      <c r="A44" s="93" t="s">
        <v>349</v>
      </c>
    </row>
    <row r="45" ht="22.5" customHeight="1">
      <c r="A45" s="93" t="s">
        <v>350</v>
      </c>
    </row>
    <row r="46" ht="22.5" customHeight="1">
      <c r="A46" s="93" t="s">
        <v>351</v>
      </c>
    </row>
    <row r="47" ht="22.5" customHeight="1">
      <c r="A47" s="93" t="s">
        <v>352</v>
      </c>
    </row>
    <row r="48" ht="22.5" customHeight="1">
      <c r="A48" s="93" t="s">
        <v>353</v>
      </c>
    </row>
    <row r="49" ht="22.5" customHeight="1">
      <c r="A49" s="93" t="s">
        <v>354</v>
      </c>
    </row>
    <row r="50" ht="22.5" customHeight="1">
      <c r="A50" s="93" t="s">
        <v>355</v>
      </c>
    </row>
    <row r="51" ht="22.5" customHeight="1">
      <c r="A51" s="93" t="s">
        <v>356</v>
      </c>
    </row>
    <row r="52" ht="22.5" customHeight="1">
      <c r="A52" s="93" t="s">
        <v>142</v>
      </c>
    </row>
    <row r="53" ht="22.5" customHeight="1">
      <c r="A53" s="93" t="s">
        <v>357</v>
      </c>
    </row>
    <row r="54" ht="22.5" customHeight="1">
      <c r="A54" s="93" t="s">
        <v>85</v>
      </c>
    </row>
    <row r="55" ht="22.5" customHeight="1"/>
  </sheetData>
  <drawing r:id="rId1"/>
  <tableParts count="1">
    <tablePart r:id="rId3"/>
  </tableParts>
</worksheet>
</file>